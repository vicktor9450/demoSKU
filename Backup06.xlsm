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445DB60A-2925-C040-99D9-472817CAF4FF}" xr6:coauthVersionLast="45" xr6:coauthVersionMax="45" xr10:uidLastSave="{00000000-0000-0000-0000-000000000000}"/>
  <bookViews>
    <workbookView xWindow="0" yWindow="13360" windowWidth="25600" windowHeight="12920" xr2:uid="{00000000-000D-0000-FFFF-FFFF00000000}"/>
  </bookViews>
  <sheets>
    <sheet name="PaperSummary" sheetId="245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Paper!$A$5:$J$124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4" i="2" l="1"/>
  <c r="I124" i="2" s="1"/>
  <c r="K124" i="2"/>
  <c r="G123" i="2"/>
  <c r="I123" i="2" s="1"/>
  <c r="K123" i="2"/>
  <c r="G122" i="2"/>
  <c r="I122" i="2" s="1"/>
  <c r="K122" i="2"/>
  <c r="G121" i="2"/>
  <c r="I121" i="2" s="1"/>
  <c r="K121" i="2"/>
  <c r="I3" i="2"/>
  <c r="F3" i="3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<sst xmlns="http://schemas.openxmlformats.org/spreadsheetml/2006/main" count="879" uniqueCount="304">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</sst>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68.838969675926" createdVersion="3" refreshedVersion="6" minRefreshableVersion="3" recordCount="118" xr:uid="{DBCBCB81-FFA5-3C4D-844F-CB462DA134B3}">
  <cacheSource type="worksheet">
    <worksheetSource ref="A5:K123" sheet="Paper"/>
  </cacheSource>
  <cacheFields count="11">
    <cacheField name="Arrival" numFmtId="49">
      <sharedItems count="43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9">
        <n v="600"/>
        <m/>
        <n v="400"/>
        <n v="500"/>
        <n v="570"/>
        <n v="180"/>
        <n v="70"/>
        <n v="300"/>
        <n v="480"/>
        <n v="580"/>
        <n v="585"/>
        <n v="380"/>
        <n v="550"/>
        <n v="10"/>
        <n v="200"/>
        <n v="450"/>
        <n v="250"/>
        <n v="80"/>
        <n v="10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50"/>
        <n v="290"/>
        <n v="15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2"/>
    <x v="14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2"/>
    <x v="14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3"/>
    <x v="2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12"/>
    <x v="14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4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5"/>
    <x v="16"/>
    <x v="0"/>
    <x v="9"/>
  </r>
  <r>
    <x v="33"/>
    <x v="2"/>
    <x v="3"/>
    <x v="1"/>
    <x v="0"/>
    <x v="0"/>
    <x v="0"/>
    <x v="7"/>
    <x v="4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7"/>
    <x v="0"/>
    <x v="30"/>
  </r>
  <r>
    <x v="37"/>
    <x v="11"/>
    <x v="12"/>
    <x v="1"/>
    <x v="7"/>
    <x v="0"/>
    <x v="8"/>
    <x v="1"/>
    <x v="17"/>
    <x v="0"/>
    <x v="30"/>
  </r>
  <r>
    <x v="37"/>
    <x v="11"/>
    <x v="12"/>
    <x v="1"/>
    <x v="8"/>
    <x v="0"/>
    <x v="9"/>
    <x v="1"/>
    <x v="18"/>
    <x v="0"/>
    <x v="30"/>
  </r>
  <r>
    <x v="37"/>
    <x v="11"/>
    <x v="12"/>
    <x v="1"/>
    <x v="8"/>
    <x v="0"/>
    <x v="9"/>
    <x v="1"/>
    <x v="18"/>
    <x v="0"/>
    <x v="30"/>
  </r>
  <r>
    <x v="37"/>
    <x v="11"/>
    <x v="12"/>
    <x v="1"/>
    <x v="8"/>
    <x v="0"/>
    <x v="9"/>
    <x v="16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7"/>
    <x v="19"/>
    <x v="0"/>
    <x v="32"/>
  </r>
  <r>
    <x v="39"/>
    <x v="0"/>
    <x v="0"/>
    <x v="0"/>
    <x v="0"/>
    <x v="0"/>
    <x v="0"/>
    <x v="18"/>
    <x v="17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2"/>
    <x v="1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1"/>
    <x v="1"/>
    <x v="0"/>
    <x v="8"/>
  </r>
  <r>
    <x v="41"/>
    <x v="0"/>
    <x v="7"/>
    <x v="1"/>
    <x v="0"/>
    <x v="0"/>
    <x v="0"/>
    <x v="1"/>
    <x v="1"/>
    <x v="0"/>
    <x v="8"/>
  </r>
  <r>
    <x v="42"/>
    <x v="0"/>
    <x v="7"/>
    <x v="1"/>
    <x v="0"/>
    <x v="0"/>
    <x v="0"/>
    <x v="3"/>
    <x v="2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2"/>
    <x v="0"/>
    <x v="4"/>
    <x v="1"/>
    <x v="0"/>
    <x v="0"/>
    <x v="0"/>
    <x v="1"/>
    <x v="1"/>
    <x v="0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31EBFF-2E4A-1C49-859C-C4F9FBEBA662}" name="PaperPivotTable" cacheId="27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3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9">
        <item x="13"/>
        <item x="6"/>
        <item x="17"/>
        <item x="18"/>
        <item x="5"/>
        <item x="14"/>
        <item x="16"/>
        <item x="7"/>
        <item x="11"/>
        <item x="2"/>
        <item x="15"/>
        <item x="8"/>
        <item x="3"/>
        <item x="12"/>
        <item x="4"/>
        <item x="9"/>
        <item x="10"/>
        <item x="0"/>
        <item x="1"/>
      </items>
    </pivotField>
    <pivotField dataField="1" showAll="0" defaultSubtotal="0">
      <items count="20">
        <item x="0"/>
        <item x="12"/>
        <item x="7"/>
        <item x="6"/>
        <item x="14"/>
        <item x="10"/>
        <item x="13"/>
        <item x="2"/>
        <item x="9"/>
        <item x="8"/>
        <item x="16"/>
        <item x="5"/>
        <item x="15"/>
        <item x="4"/>
        <item x="18"/>
        <item x="11"/>
        <item x="17"/>
        <item x="19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4" headerRowDxfId="39" dataDxfId="38" totalsRowDxfId="37">
  <autoFilter ref="A5:K124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907E9-57D3-1045-A3AD-3A142440E076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</row>
    <row r="3" spans="2:24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  <c r="X3" s="53">
        <v>220</v>
      </c>
    </row>
    <row r="4" spans="2:24">
      <c r="B4" s="7" t="s">
        <v>0</v>
      </c>
      <c r="C4" s="53" t="s">
        <v>257</v>
      </c>
      <c r="D4" s="53" t="s">
        <v>257</v>
      </c>
      <c r="E4" s="53" t="s">
        <v>257</v>
      </c>
      <c r="F4" s="53" t="s">
        <v>257</v>
      </c>
      <c r="G4" s="53" t="s">
        <v>257</v>
      </c>
      <c r="H4" s="53" t="s">
        <v>267</v>
      </c>
      <c r="I4" s="53" t="s">
        <v>257</v>
      </c>
      <c r="J4" s="53" t="s">
        <v>257</v>
      </c>
      <c r="K4" s="53" t="s">
        <v>257</v>
      </c>
      <c r="L4" s="53" t="s">
        <v>257</v>
      </c>
      <c r="M4" s="53" t="s">
        <v>257</v>
      </c>
      <c r="N4" s="53" t="s">
        <v>267</v>
      </c>
      <c r="O4" s="53" t="s">
        <v>257</v>
      </c>
      <c r="P4" s="53" t="s">
        <v>257</v>
      </c>
      <c r="Q4" s="53" t="s">
        <v>257</v>
      </c>
      <c r="R4" s="53" t="s">
        <v>257</v>
      </c>
      <c r="S4" s="53" t="s">
        <v>267</v>
      </c>
      <c r="T4" s="53" t="s">
        <v>257</v>
      </c>
      <c r="U4" s="53" t="s">
        <v>267</v>
      </c>
      <c r="V4" s="53" t="s">
        <v>257</v>
      </c>
      <c r="W4" s="53" t="s">
        <v>257</v>
      </c>
      <c r="X4" s="53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1300</v>
      </c>
      <c r="E12" s="6"/>
      <c r="F12" s="6"/>
      <c r="G12" s="6"/>
      <c r="H12" s="6"/>
      <c r="I12" s="6"/>
      <c r="J12" s="6">
        <v>1230</v>
      </c>
      <c r="K12" s="6"/>
      <c r="L12" s="6">
        <v>290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650</v>
      </c>
      <c r="J15" s="6"/>
      <c r="K15" s="6"/>
      <c r="L15" s="6">
        <v>100</v>
      </c>
      <c r="M15" s="6"/>
      <c r="N15" s="6">
        <v>600</v>
      </c>
      <c r="O15" s="6">
        <v>750</v>
      </c>
      <c r="P15" s="6"/>
      <c r="Q15" s="6">
        <v>1350</v>
      </c>
      <c r="R15" s="6"/>
      <c r="S15" s="6">
        <v>1100</v>
      </c>
      <c r="T15" s="6">
        <v>700</v>
      </c>
      <c r="U15" s="6">
        <v>20</v>
      </c>
      <c r="V15" s="6">
        <v>700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4"/>
  <sheetViews>
    <sheetView zoomScale="107" zoomScaleNormal="107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5" t="s">
        <v>254</v>
      </c>
      <c r="I2" s="59" t="s">
        <v>235</v>
      </c>
      <c r="J2" s="60"/>
      <c r="M2" s="30"/>
      <c r="N2" s="30"/>
      <c r="O2" s="30"/>
      <c r="P2" s="30"/>
    </row>
    <row r="3" spans="1:19" ht="23" thickBot="1">
      <c r="I3" s="57">
        <f>LastSavedTimeStamp()</f>
        <v>44168.838738425926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550</v>
      </c>
      <c r="I91" s="17">
        <f t="shared" si="10"/>
        <v>50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300</v>
      </c>
      <c r="I99" s="17">
        <f t="shared" si="12"/>
        <v>300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8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/>
      <c r="I118" s="17">
        <f t="shared" si="18"/>
        <v>600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8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/>
      <c r="I119" s="17">
        <f t="shared" si="18"/>
        <v>600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6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500</v>
      </c>
      <c r="I120" s="17">
        <f t="shared" si="18"/>
        <v>100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>F121*E121</f>
        <v>600</v>
      </c>
      <c r="H121" s="17"/>
      <c r="I121" s="17">
        <f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>F122*E122</f>
        <v>600</v>
      </c>
      <c r="H122" s="17"/>
      <c r="I122" s="17">
        <f>G122-H122</f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8" t="s">
        <v>253</v>
      </c>
      <c r="C123" s="17">
        <v>155</v>
      </c>
      <c r="D123" s="17"/>
      <c r="E123" s="17">
        <v>600</v>
      </c>
      <c r="F123" s="17">
        <v>1</v>
      </c>
      <c r="G123" s="17">
        <f>F123*E123</f>
        <v>600</v>
      </c>
      <c r="H123" s="17"/>
      <c r="I123" s="17">
        <f>G123-H123</f>
        <v>600</v>
      </c>
      <c r="J123" s="18"/>
      <c r="K123" s="20" t="str">
        <f>CONCATENATE(Table2[[#This Row],[Specs]],Table2[[#This Row],[Width]],Table2[[#This Row],[Slitting]])</f>
        <v>y ユポ80 MDN 8GB155</v>
      </c>
    </row>
    <row r="124" spans="1:11">
      <c r="A124" s="15"/>
      <c r="B124" s="16"/>
      <c r="C124" s="17"/>
      <c r="D124" s="17"/>
      <c r="E124" s="17"/>
      <c r="F124" s="17"/>
      <c r="G124" s="17">
        <f>F124*E124</f>
        <v>0</v>
      </c>
      <c r="H124" s="17"/>
      <c r="I124" s="17">
        <f>G124-H124</f>
        <v>0</v>
      </c>
      <c r="J124" s="18"/>
      <c r="K124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6" sqref="F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44168.60738425926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1" t="s">
        <v>233</v>
      </c>
      <c r="B1" s="62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2020-12-03T11:08:08Z</dcterms:modified>
</cp:coreProperties>
</file>