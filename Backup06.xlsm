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E9862258-894C-9544-B960-0CB393C72559}" xr6:coauthVersionLast="45" xr6:coauthVersionMax="45" xr10:uidLastSave="{00000000-0000-0000-0000-000000000000}"/>
  <bookViews>
    <workbookView xWindow="0" yWindow="500" windowWidth="34220" windowHeight="23520" xr2:uid="{00000000-000D-0000-FFFF-FFFF00000000}"/>
  </bookViews>
  <sheets>
    <sheet name="PaperSummary" sheetId="276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Paper!$A$5:$J$134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41" r:id="rId8"/>
  </pivotCaches>
</workbook>
</file>

<file path=xl/calcChain.xml><?xml version="1.0" encoding="utf-8"?>
<calcChain xmlns="http://schemas.openxmlformats.org/spreadsheetml/2006/main">
  <c r="G134" i="2" l="1"/>
  <c r="I134" i="2" s="1"/>
  <c r="K134" i="2"/>
  <c r="I3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<sst xmlns="http://schemas.openxmlformats.org/spreadsheetml/2006/main" count="915" uniqueCount="321">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</sst>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3" fillId="5" borderId="0" xfId="0" applyFont="1" applyFill="1" applyAlignment="1">
      <alignment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8" fillId="0" borderId="0" xfId="0" applyFont="1"/>
    <xf numFmtId="49" fontId="16" fillId="0" borderId="15" xfId="0" applyNumberFormat="1" applyFont="1" applyBorder="1" applyAlignment="1">
      <alignment vertical="center"/>
    </xf>
    <xf numFmtId="0" fontId="17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01.338184953704" createdVersion="3" refreshedVersion="6" minRefreshableVersion="3" recordCount="128" xr:uid="{A9A5ACC7-CE67-C446-B491-0E99D23DECF4}">
  <cacheSource type="worksheet">
    <worksheetSource ref="A5:K133" sheet="Paper"/>
  </cacheSource>
  <cacheFields count="11">
    <cacheField name="Arrival" numFmtId="49">
      <sharedItems containsBlank="1" count="5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m/>
      </sharedItems>
    </cacheField>
    <cacheField name="Specs" numFmtId="0">
      <sharedItems containsBlank="1" count="15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  <m/>
      </sharedItems>
    </cacheField>
    <cacheField name="Width" numFmtId="0">
      <sharedItems containsString="0" containsBlank="1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m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tring="0" containsBlank="1" containsNumber="1" containsInteger="1" minValue="60" maxValue="1000" count="11">
        <n v="600"/>
        <n v="300"/>
        <n v="200"/>
        <n v="100"/>
        <n v="60"/>
        <n v="400"/>
        <n v="80"/>
        <n v="500"/>
        <n v="350"/>
        <n v="1000"/>
        <m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emiMixedTypes="0" containsString="0" containsNumber="1" containsInteger="1" minValue="0" maxValue="1200" count="12">
        <n v="600"/>
        <n v="1200"/>
        <n v="300"/>
        <n v="200"/>
        <n v="100"/>
        <n v="60"/>
        <n v="400"/>
        <n v="80"/>
        <n v="500"/>
        <n v="350"/>
        <n v="1000"/>
        <n v="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200"/>
        <n v="100"/>
        <n v="250"/>
        <n v="80"/>
        <n v="550"/>
        <n v="10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6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4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4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5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1"/>
    <x v="1"/>
    <x v="0"/>
    <x v="8"/>
  </r>
  <r>
    <x v="49"/>
    <x v="0"/>
    <x v="7"/>
    <x v="1"/>
    <x v="0"/>
    <x v="0"/>
    <x v="0"/>
    <x v="1"/>
    <x v="1"/>
    <x v="0"/>
    <x v="8"/>
  </r>
  <r>
    <x v="50"/>
    <x v="14"/>
    <x v="19"/>
    <x v="1"/>
    <x v="10"/>
    <x v="2"/>
    <x v="11"/>
    <x v="1"/>
    <x v="0"/>
    <x v="0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2D6378-A244-2446-8F05-CC3F7D999115}" name="PaperPivotTable" cacheId="41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9" firstHeaderRow="1" firstDataRow="3" firstDataCol="1"/>
  <pivotFields count="11">
    <pivotField showAll="0" defaultSubtotal="0">
      <items count="51"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  <item x="50"/>
      </items>
    </pivotField>
    <pivotField axis="axisRow" showAll="0" defaultSubtotal="0">
      <items count="15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  <item x="14"/>
      </items>
    </pivotField>
    <pivotField axis="axisCol" showAll="0" defaultSubtotal="0">
      <items count="20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  <item x="19"/>
      </items>
    </pivotField>
    <pivotField axis="axisCol" showAll="0" defaultSubtotal="0">
      <items count="2">
        <item x="0"/>
        <item n=" " x="1"/>
      </items>
    </pivotField>
    <pivotField showAll="0" defaultSubtotal="0">
      <items count="11">
        <item x="4"/>
        <item x="6"/>
        <item x="3"/>
        <item x="2"/>
        <item x="1"/>
        <item x="8"/>
        <item x="5"/>
        <item x="7"/>
        <item x="0"/>
        <item x="9"/>
        <item x="10"/>
      </items>
    </pivotField>
    <pivotField showAll="0" defaultSubtotal="0">
      <items count="3">
        <item x="0"/>
        <item x="1"/>
        <item x="2"/>
      </items>
    </pivotField>
    <pivotField showAll="0" defaultSubtotal="0">
      <items count="12">
        <item x="11"/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6"/>
        <item x="14"/>
        <item x="5"/>
        <item x="13"/>
        <item x="15"/>
        <item x="7"/>
        <item x="11"/>
        <item x="2"/>
        <item x="8"/>
        <item x="3"/>
        <item x="17"/>
        <item x="4"/>
        <item x="9"/>
        <item x="10"/>
        <item x="0"/>
        <item x="18"/>
        <item x="1"/>
      </items>
    </pivotField>
    <pivotField dataField="1" showAll="0" defaultSubtotal="0">
      <items count="19">
        <item x="0"/>
        <item x="12"/>
        <item x="7"/>
        <item x="6"/>
        <item x="18"/>
        <item x="10"/>
        <item x="13"/>
        <item x="4"/>
        <item x="9"/>
        <item x="8"/>
        <item x="3"/>
        <item x="14"/>
        <item x="5"/>
        <item x="16"/>
        <item x="11"/>
        <item x="15"/>
        <item x="17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6">
        <item x="35"/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4" headerRowDxfId="33" dataDxfId="32" totalsRowDxfId="31">
  <autoFilter ref="A5:K13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6FAE-A0CF-894A-A8D0-6AC1E182427E}">
  <dimension ref="B1:Z19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1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5976562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9.59765625" bestFit="1" customWidth="1"/>
    <col min="46" max="46" width="13.8984375" bestFit="1" customWidth="1"/>
    <col min="47" max="47" width="11.8984375" bestFit="1" customWidth="1"/>
  </cols>
  <sheetData>
    <row r="1" spans="2:26" ht="7.5" customHeight="1"/>
    <row r="2" spans="2:26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2:26" ht="46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210</v>
      </c>
      <c r="X3" s="52">
        <v>215</v>
      </c>
      <c r="Y3" s="52">
        <v>220</v>
      </c>
      <c r="Z3" s="52" t="s">
        <v>320</v>
      </c>
    </row>
    <row r="4" spans="2:26" ht="46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  <c r="Y4" s="52" t="s">
        <v>257</v>
      </c>
      <c r="Z4" s="52" t="s">
        <v>257</v>
      </c>
    </row>
    <row r="5" spans="2:26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307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  <c r="Z12" s="6"/>
    </row>
    <row r="13" spans="2:26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293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308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  <c r="Z16" s="6"/>
    </row>
    <row r="17" spans="2:26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0</v>
      </c>
      <c r="J17" s="6"/>
      <c r="K17" s="6"/>
      <c r="L17" s="6">
        <v>300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  <c r="Z17" s="6"/>
    </row>
    <row r="18" spans="2:26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2:26">
      <c r="B19" s="5" t="s">
        <v>320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>
        <v>0</v>
      </c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4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2.5976562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0" t="s">
        <v>254</v>
      </c>
      <c r="I2" s="58" t="s">
        <v>235</v>
      </c>
      <c r="J2" s="59"/>
      <c r="M2" s="29"/>
      <c r="N2" s="29"/>
      <c r="O2" s="29"/>
      <c r="P2" s="29"/>
    </row>
    <row r="3" spans="1:19" ht="23" thickBot="1">
      <c r="I3" s="56">
        <f>LastSavedTimeStamp()</f>
        <v>44201.33803240741</v>
      </c>
      <c r="J3" s="57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9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600</v>
      </c>
      <c r="I13" s="17">
        <f t="shared" si="1"/>
        <v>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>F20*E20</f>
        <v>600</v>
      </c>
      <c r="H20" s="18">
        <v>400</v>
      </c>
      <c r="I20" s="17">
        <f t="shared" si="1"/>
        <v>200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45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6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274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275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277</v>
      </c>
      <c r="B81" s="19" t="s">
        <v>278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277</v>
      </c>
      <c r="B82" s="19" t="s">
        <v>278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1" t="s">
        <v>276</v>
      </c>
      <c r="B83" s="44" t="s">
        <v>253</v>
      </c>
      <c r="C83" s="42">
        <v>165</v>
      </c>
      <c r="D83" s="42"/>
      <c r="E83" s="42">
        <v>600</v>
      </c>
      <c r="F83" s="42">
        <v>1</v>
      </c>
      <c r="G83" s="17">
        <f t="shared" si="7"/>
        <v>600</v>
      </c>
      <c r="H83" s="42">
        <v>600</v>
      </c>
      <c r="I83" s="17">
        <f t="shared" si="8"/>
        <v>0</v>
      </c>
      <c r="J83" s="43"/>
      <c r="K83" s="20" t="str">
        <f>CONCATENATE(Table2[[#This Row],[Specs]],Table2[[#This Row],[Width]],Table2[[#This Row],[Slitting]])</f>
        <v>y ユポ80 MDN 8GB165</v>
      </c>
    </row>
    <row r="84" spans="1:11">
      <c r="A84" s="41" t="s">
        <v>276</v>
      </c>
      <c r="B84" s="44" t="s">
        <v>253</v>
      </c>
      <c r="C84" s="42">
        <v>140</v>
      </c>
      <c r="D84" s="42"/>
      <c r="E84" s="42">
        <v>600</v>
      </c>
      <c r="F84" s="42">
        <v>1</v>
      </c>
      <c r="G84" s="17">
        <f t="shared" si="7"/>
        <v>600</v>
      </c>
      <c r="H84" s="42">
        <v>600</v>
      </c>
      <c r="I84" s="17">
        <f t="shared" si="8"/>
        <v>0</v>
      </c>
      <c r="J84" s="43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279</v>
      </c>
      <c r="B85" s="19" t="s">
        <v>280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281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283</v>
      </c>
      <c r="B87" s="19" t="s">
        <v>284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283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285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286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287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287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286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289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289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289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289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289</v>
      </c>
      <c r="B98" s="19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289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290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290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291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>
        <v>100</v>
      </c>
      <c r="I103" s="17">
        <f t="shared" si="14"/>
        <v>500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291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292</v>
      </c>
      <c r="B105" s="16" t="s">
        <v>293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294</v>
      </c>
      <c r="B106" s="16" t="s">
        <v>293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294</v>
      </c>
      <c r="B107" s="16" t="s">
        <v>293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294</v>
      </c>
      <c r="B108" s="16" t="s">
        <v>293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294</v>
      </c>
      <c r="B109" s="16" t="s">
        <v>293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296</v>
      </c>
      <c r="B110" s="16" t="s">
        <v>297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296</v>
      </c>
      <c r="B111" s="16" t="s">
        <v>297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299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300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300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300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300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301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301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301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302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302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302</v>
      </c>
      <c r="B122" s="19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303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304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305</v>
      </c>
      <c r="B126" s="18" t="s">
        <v>307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306</v>
      </c>
      <c r="B127" s="19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306</v>
      </c>
      <c r="B128" s="16" t="s">
        <v>308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8"/>
      <c r="K128" s="20" t="str">
        <f>CONCATENATE(Table2[[#This Row],[Specs]],Table2[[#This Row],[Width]],Table2[[#This Row],[Slitting]])</f>
        <v>TWF55P16U5W210</v>
      </c>
    </row>
    <row r="129" spans="1:11">
      <c r="A129" s="15" t="s">
        <v>309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>
      <c r="A130" s="15" t="s">
        <v>310</v>
      </c>
      <c r="B130" s="16" t="s">
        <v>253</v>
      </c>
      <c r="C130" s="17">
        <v>155</v>
      </c>
      <c r="D130" s="17" t="s">
        <v>267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8"/>
      <c r="K130" s="20" t="str">
        <f>CONCATENATE(Table2[[#This Row],[Specs]],Table2[[#This Row],[Width]],Table2[[#This Row],[Slitting]])</f>
        <v>y ユポ80 MDN 8GB155i 一本刃</v>
      </c>
    </row>
    <row r="131" spans="1:11">
      <c r="A131" s="15" t="s">
        <v>311</v>
      </c>
      <c r="B131" s="16" t="s">
        <v>253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/>
      <c r="I131" s="17">
        <f t="shared" si="22"/>
        <v>600</v>
      </c>
      <c r="J131" s="18"/>
      <c r="K131" s="20" t="str">
        <f>CONCATENATE(Table2[[#This Row],[Specs]],Table2[[#This Row],[Width]],Table2[[#This Row],[Slitting]])</f>
        <v>y ユポ80 MDN 8GB165</v>
      </c>
    </row>
    <row r="132" spans="1:11">
      <c r="A132" s="15" t="s">
        <v>311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/>
      <c r="I132" s="17">
        <f t="shared" si="22"/>
        <v>600</v>
      </c>
      <c r="J132" s="18"/>
      <c r="K132" s="20" t="str">
        <f>CONCATENATE(Table2[[#This Row],[Specs]],Table2[[#This Row],[Width]],Table2[[#This Row],[Slitting]])</f>
        <v>y ユポ80 MDN 8GB165</v>
      </c>
    </row>
    <row r="133" spans="1:11">
      <c r="A133" s="15"/>
      <c r="B133" s="16"/>
      <c r="C133" s="17"/>
      <c r="D133" s="17"/>
      <c r="E133" s="17"/>
      <c r="F133" s="17"/>
      <c r="G133" s="17">
        <f t="shared" si="21"/>
        <v>0</v>
      </c>
      <c r="H133" s="17"/>
      <c r="I133" s="17">
        <f t="shared" si="22"/>
        <v>0</v>
      </c>
      <c r="J133" s="18"/>
      <c r="K133" s="20" t="str">
        <f>CONCATENATE(Table2[[#This Row],[Specs]],Table2[[#This Row],[Width]],Table2[[#This Row],[Slitting]])</f>
        <v/>
      </c>
    </row>
    <row r="134" spans="1:11">
      <c r="A134" s="15"/>
      <c r="B134" s="16"/>
      <c r="C134" s="17"/>
      <c r="D134" s="17"/>
      <c r="E134" s="17"/>
      <c r="F134" s="17"/>
      <c r="G134" s="17">
        <f>F134*E134</f>
        <v>0</v>
      </c>
      <c r="H134" s="17"/>
      <c r="I134" s="17">
        <f>G134-H134</f>
        <v>0</v>
      </c>
      <c r="J134" s="18"/>
      <c r="K13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44201.337233796294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288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48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295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273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49" t="s">
        <v>282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282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282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47" t="s">
        <v>298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51" t="s">
        <v>313</v>
      </c>
      <c r="B1" s="51" t="s">
        <v>314</v>
      </c>
      <c r="C1" s="51" t="s">
        <v>316</v>
      </c>
    </row>
    <row r="2" spans="1:3">
      <c r="A2" s="50">
        <v>44189</v>
      </c>
      <c r="B2" t="s">
        <v>315</v>
      </c>
      <c r="C2" t="s">
        <v>317</v>
      </c>
    </row>
    <row r="3" spans="1:3">
      <c r="A3" s="50">
        <v>44190</v>
      </c>
      <c r="B3" t="s">
        <v>315</v>
      </c>
      <c r="C3" t="s">
        <v>318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7"/>
  <sheetViews>
    <sheetView zoomScaleNormal="100" workbookViewId="0">
      <selection activeCell="B8" sqref="B8"/>
    </sheetView>
  </sheetViews>
  <sheetFormatPr baseColWidth="10" defaultColWidth="8.69921875" defaultRowHeight="22"/>
  <cols>
    <col min="1" max="1" width="10.8984375" style="37" bestFit="1" customWidth="1"/>
    <col min="2" max="2" width="53" style="36" customWidth="1"/>
    <col min="3" max="16384" width="8.69921875" style="34"/>
  </cols>
  <sheetData>
    <row r="1" spans="1:2" ht="26" thickBot="1">
      <c r="A1" s="60" t="s">
        <v>233</v>
      </c>
      <c r="B1" s="61"/>
    </row>
    <row r="2" spans="1:2" ht="23">
      <c r="A2" s="35">
        <v>44061</v>
      </c>
      <c r="B2" s="39" t="s">
        <v>232</v>
      </c>
    </row>
    <row r="3" spans="1:2" ht="23">
      <c r="A3" s="35">
        <v>44062</v>
      </c>
      <c r="B3" s="38" t="s">
        <v>249</v>
      </c>
    </row>
    <row r="4" spans="1:2" ht="23">
      <c r="A4" s="35">
        <v>44063</v>
      </c>
      <c r="B4" s="38" t="s">
        <v>234</v>
      </c>
    </row>
    <row r="5" spans="1:2" ht="23">
      <c r="A5" s="35">
        <v>44064</v>
      </c>
      <c r="B5" s="38" t="s">
        <v>266</v>
      </c>
    </row>
    <row r="6" spans="1:2" ht="23">
      <c r="B6" s="38" t="s">
        <v>271</v>
      </c>
    </row>
    <row r="7" spans="1:2" ht="46">
      <c r="A7" s="37" t="s">
        <v>312</v>
      </c>
      <c r="B7" s="36" t="s">
        <v>319</v>
      </c>
    </row>
  </sheetData>
  <mergeCells count="1">
    <mergeCell ref="A1:B1"/>
  </mergeCells>
  <phoneticPr fontId="15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2021-01-04T23:09:00Z</dcterms:modified>
</cp:coreProperties>
</file>