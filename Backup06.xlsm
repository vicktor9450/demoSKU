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87B73A5A-CFB3-A349-8F5A-B3C190670D84}" xr6:coauthVersionLast="45" xr6:coauthVersionMax="45" xr10:uidLastSave="{00000000-0000-0000-0000-000000000000}"/>
  <bookViews>
    <workbookView xWindow="0" yWindow="460" windowWidth="25600" windowHeight="12340" activeTab="1" xr2:uid="{00000000-000D-0000-FFFF-FFFF00000000}"/>
  </bookViews>
  <sheets>
    <sheet name="PaperSummary" sheetId="250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Paper!$A$5:$J$127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F3" i="3"/>
  <c r="I3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<sst xmlns="http://schemas.openxmlformats.org/spreadsheetml/2006/main" count="886" uniqueCount="308">
  <si>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</si>
  <si>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</si>
  <si>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</si>
  <si>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</si>
  <si>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</si>
  <si>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</si>
  <si>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</si>
  <si>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</si>
  <si>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</si>
  <si>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</si>
  <si>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</si>
  <si>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</si>
  <si>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</si>
  <si>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</si>
  <si>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</si>
  <si>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</si>
  <si>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</si>
  <si>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</si>
  <si>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</si>
  <si>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</si>
  <si>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</si>
  <si>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</si>
  <si>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</si>
  <si>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</si>
  <si>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</si>
  <si>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</si>
  <si>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</si>
  <si>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</si>
  <si>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</si>
  <si>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</si>
  <si>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</si>
  <si>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</si>
  <si>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</si>
  <si>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</si>
  <si>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</si>
  <si>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</si>
  <si>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</si>
  <si>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</si>
  <si>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</si>
  <si>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</si>
  <si>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</si>
  <si>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</si>
  <si>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</si>
  <si>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</si>
  <si>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</si>
  <si>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</si>
  <si>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</si>
  <si>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</si>
  <si>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</si>
  <si>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</si>
  <si>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</si>
  <si>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</si>
  <si>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</si>
  <si>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</si>
  <si>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</si>
  <si>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</si>
  <si>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</si>
  <si>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</si>
  <si>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</si>
  <si>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</si>
  <si>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</si>
  <si>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</si>
  <si>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</si>
  <si>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</si>
  <si>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</si>
  <si>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</si>
  <si>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</si>
  <si>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</si>
  <si>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</si>
  <si>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</si>
  <si>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</si>
  <si>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</si>
  <si>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</si>
  <si>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</si>
  <si>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</si>
  <si>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</si>
  <si>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</si>
  <si>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</si>
  <si>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</si>
  <si>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</si>
  <si>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</si>
  <si>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</si>
  <si>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</si>
  <si>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</si>
  <si>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</si>
  <si>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</si>
  <si>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</si>
  <si>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</si>
  <si>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</si>
  <si>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</si>
  <si>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</si>
  <si>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</si>
  <si>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</si>
  <si>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</si>
  <si>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</si>
  <si>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</si>
  <si>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</si>
  <si>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</si>
  <si>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</si>
  <si>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</si>
  <si>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</si>
  <si>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</si>
  <si>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</si>
  <si>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</si>
  <si>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</si>
  <si>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</si>
  <si>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</si>
  <si>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</si>
  <si>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</si>
  <si>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</si>
  <si>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</si>
  <si>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</si>
  <si>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</si>
  <si>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</si>
  <si>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</si>
  <si>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</si>
  <si>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</si>
  <si>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</si>
  <si>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</si>
  <si>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</si>
  <si>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</si>
  <si>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</si>
  <si>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</si>
  <si>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</si>
  <si>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</si>
  <si>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</si>
  <si>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</si>
  <si>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</si>
  <si>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</si>
  <si>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</si>
  <si>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</si>
  <si>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</si>
  <si>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</si>
  <si>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</si>
  <si>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</si>
  <si>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</si>
  <si>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</si>
  <si>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</si>
  <si>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</si>
  <si>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</si>
  <si>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</si>
  <si>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</si>
  <si>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</si>
  <si>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</si>
  <si>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</si>
  <si>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</si>
  <si>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</si>
  <si>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</si>
  <si>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</si>
  <si>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</si>
  <si>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</si>
  <si>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</si>
  <si>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</si>
  <si>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</si>
  <si>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</si>
  <si>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</si>
  <si>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</si>
  <si>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</si>
  <si>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</si>
  <si>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</si>
  <si>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</si>
  <si>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</si>
  <si>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</si>
  <si>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</si>
  <si>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</si>
  <si>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</si>
  <si>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</si>
  <si>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</si>
  <si>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</si>
  <si>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</si>
  <si>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</si>
  <si>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</si>
  <si>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</si>
  <si>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</si>
  <si>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</si>
  <si>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</si>
  <si>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</si>
  <si>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</si>
  <si>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</si>
  <si>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</si>
  <si>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</si>
  <si>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</si>
  <si>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</si>
  <si>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</si>
  <si>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</si>
  <si>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</si>
  <si>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</si>
  <si>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</si>
  <si>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</si>
  <si>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</si>
  <si>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</si>
  <si>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</si>
  <si>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</si>
  <si>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</si>
  <si>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</si>
  <si>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</si>
  <si>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</si>
  <si>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</si>
  <si>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</si>
  <si>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</si>
  <si>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</si>
  <si>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</si>
  <si>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</si>
  <si>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</si>
  <si>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</si>
  <si>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</si>
  <si>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</si>
  <si>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</si>
  <si>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</si>
  <si>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</si>
  <si>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</si>
  <si>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</si>
  <si>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</si>
  <si>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</si>
  <si>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</si>
  <si>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</si>
  <si>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</si>
  <si>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</si>
  <si>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</si>
  <si>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</si>
  <si>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</si>
  <si>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</si>
  <si>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</si>
  <si>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</si>
  <si>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</si>
  <si>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</si>
  <si>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</si>
  <si>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</si>
  <si>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</si>
  <si>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</si>
  <si>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</si>
  <si>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</si>
  <si>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</si>
  <si>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</si>
  <si>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</si>
  <si>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</si>
  <si>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</si>
  <si>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</si>
  <si>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</si>
  <si>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</si>
  <si>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</si>
  <si>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</si>
  <si>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</si>
  <si>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</si>
  <si>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</si>
  <si>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</si>
  <si>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</si>
  <si>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</si>
  <si>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</si>
  <si>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</si>
  <si>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</si>
  <si>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</si>
  <si>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</si>
  <si>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</si>
  <si>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</si>
  <si>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</si>
  <si>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</si>
  <si>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</si>
  <si>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</si>
  <si>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</si>
  <si>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</si>
  <si>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</si>
  <si>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</si>
  <si>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</si>
  <si>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</si>
  <si>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</si>
  <si>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</si>
  <si>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</si>
  <si>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</si>
  <si>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</si>
  <si>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</si>
  <si>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</si>
  <si>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</si>
  <si>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</si>
  <si>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</si>
  <si>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</si>
  <si>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</si>
  <si>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</si>
  <si>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</si>
  <si>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</si>
  <si>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</si>
  <si>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</si>
  <si>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</si>
  <si>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</si>
  <si>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</si>
  <si>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</si>
  <si>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</si>
  <si>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</si>
  <si>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</si>
  <si>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</si>
  <si>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</si>
  <si>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</si>
  <si>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</si>
  <si>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</si>
  <si>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</si>
  <si>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</si>
  <si>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</si>
  <si>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</si>
  <si>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</si>
  <si>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</si>
  <si>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</si>
  <si>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</si>
  <si>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</si>
  <si>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</si>
  <si>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</si>
  <si>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</si>
  <si>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</si>
  <si>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ピンク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</si>
</sst>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5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5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19" fillId="0" borderId="15" xfId="0" applyNumberFormat="1" applyFont="1" applyBorder="1" applyAlignment="1">
      <alignment vertical="center"/>
    </xf>
    <xf numFmtId="0" fontId="20" fillId="0" borderId="16" xfId="0" applyFont="1" applyBorder="1" applyAlignment="1">
      <alignment vertical="center"/>
    </xf>
    <xf numFmtId="0" fontId="19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23" fillId="0" borderId="0" xfId="0" applyFont="1" applyAlignment="1">
      <alignment horizontal="left" vertical="center"/>
    </xf>
    <xf numFmtId="0" fontId="24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8" fillId="0" borderId="11" xfId="0" applyNumberFormat="1" applyFont="1" applyBorder="1" applyAlignment="1">
      <alignment horizontal="right" vertical="center"/>
    </xf>
    <xf numFmtId="166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7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75.42647175926" createdVersion="3" refreshedVersion="6" minRefreshableVersion="3" recordCount="121" xr:uid="{1CA6BD1D-BA47-9E48-8AD2-C2CCEDD89EA9}">
  <cacheSource type="worksheet">
    <worksheetSource ref="A5:K126" sheet="Paper"/>
  </cacheSource>
  <cacheFields count="11">
    <cacheField name="Arrival" numFmtId="49">
      <sharedItems count="46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9">
        <n v="600"/>
        <n v="300"/>
        <n v="200"/>
        <n v="100"/>
        <n v="60"/>
        <n v="400"/>
        <n v="80"/>
        <n v="500"/>
        <n v="35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0">
        <n v="600"/>
        <n v="1200"/>
        <n v="300"/>
        <n v="200"/>
        <n v="100"/>
        <n v="60"/>
        <n v="400"/>
        <n v="80"/>
        <n v="500"/>
        <n v="350"/>
      </sharedItems>
    </cacheField>
    <cacheField name="Used" numFmtId="0">
      <sharedItems containsString="0" containsBlank="1" containsNumber="1" containsInteger="1" minValue="10" maxValue="600" count="17">
        <n v="600"/>
        <m/>
        <n v="400"/>
        <n v="500"/>
        <n v="570"/>
        <n v="180"/>
        <n v="70"/>
        <n v="300"/>
        <n v="480"/>
        <n v="580"/>
        <n v="585"/>
        <n v="380"/>
        <n v="550"/>
        <n v="10"/>
        <n v="200"/>
        <n v="250"/>
        <n v="80"/>
      </sharedItems>
    </cacheField>
    <cacheField name="Remaining" numFmtId="0">
      <sharedItems containsSemiMixedTypes="0" containsString="0" containsNumber="1" containsInteger="1" minValue="0" maxValue="1200" count="19">
        <n v="0"/>
        <n v="600"/>
        <n v="100"/>
        <n v="1200"/>
        <n v="300"/>
        <n v="200"/>
        <n v="30"/>
        <n v="20"/>
        <n v="130"/>
        <n v="120"/>
        <n v="60"/>
        <n v="400"/>
        <n v="15"/>
        <n v="80"/>
        <n v="50"/>
        <n v="290"/>
        <n v="500"/>
        <n v="350"/>
        <n v="5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3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1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1"/>
    <x v="3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2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2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5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7"/>
    <x v="4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2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3"/>
    <x v="2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4"/>
    <x v="1"/>
    <x v="16"/>
  </r>
  <r>
    <x v="12"/>
    <x v="1"/>
    <x v="3"/>
    <x v="1"/>
    <x v="0"/>
    <x v="0"/>
    <x v="0"/>
    <x v="9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9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5"/>
    <x v="1"/>
    <x v="21"/>
  </r>
  <r>
    <x v="12"/>
    <x v="7"/>
    <x v="12"/>
    <x v="1"/>
    <x v="3"/>
    <x v="0"/>
    <x v="4"/>
    <x v="1"/>
    <x v="2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5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2"/>
    <x v="14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12"/>
    <x v="14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7"/>
    <x v="0"/>
    <x v="0"/>
    <x v="14"/>
  </r>
  <r>
    <x v="30"/>
    <x v="2"/>
    <x v="8"/>
    <x v="1"/>
    <x v="1"/>
    <x v="0"/>
    <x v="2"/>
    <x v="13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2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4"/>
    <x v="11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3"/>
    <x v="2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5"/>
    <x v="2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6"/>
    <x v="18"/>
    <x v="0"/>
    <x v="32"/>
  </r>
  <r>
    <x v="39"/>
    <x v="0"/>
    <x v="0"/>
    <x v="0"/>
    <x v="0"/>
    <x v="0"/>
    <x v="0"/>
    <x v="3"/>
    <x v="2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2"/>
    <x v="14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14"/>
    <x v="11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1"/>
    <x v="1"/>
    <x v="0"/>
    <x v="10"/>
  </r>
  <r>
    <x v="43"/>
    <x v="0"/>
    <x v="7"/>
    <x v="1"/>
    <x v="0"/>
    <x v="0"/>
    <x v="0"/>
    <x v="1"/>
    <x v="1"/>
    <x v="0"/>
    <x v="8"/>
  </r>
  <r>
    <x v="43"/>
    <x v="0"/>
    <x v="7"/>
    <x v="1"/>
    <x v="0"/>
    <x v="0"/>
    <x v="0"/>
    <x v="1"/>
    <x v="1"/>
    <x v="0"/>
    <x v="8"/>
  </r>
  <r>
    <x v="44"/>
    <x v="0"/>
    <x v="8"/>
    <x v="1"/>
    <x v="0"/>
    <x v="0"/>
    <x v="0"/>
    <x v="1"/>
    <x v="1"/>
    <x v="0"/>
    <x v="12"/>
  </r>
  <r>
    <x v="45"/>
    <x v="2"/>
    <x v="8"/>
    <x v="1"/>
    <x v="7"/>
    <x v="0"/>
    <x v="8"/>
    <x v="1"/>
    <x v="16"/>
    <x v="0"/>
    <x v="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B7A346-554F-8D48-86A8-E4EA8784919A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6" firstHeaderRow="1" firstDataRow="3" firstDataCol="1"/>
  <pivotFields count="11">
    <pivotField showAll="0" defaultSubtotal="0">
      <items count="46">
        <item x="31"/>
        <item x="32"/>
        <item x="30"/>
        <item x="33"/>
        <item x="34"/>
        <item x="35"/>
        <item x="36"/>
        <item x="39"/>
        <item x="29"/>
        <item x="38"/>
        <item x="40"/>
        <item x="41"/>
        <item x="42"/>
        <item x="43"/>
        <item x="44"/>
        <item x="45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11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9">
        <item x="4"/>
        <item x="6"/>
        <item x="3"/>
        <item x="2"/>
        <item x="1"/>
        <item x="8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10">
        <item x="5"/>
        <item x="7"/>
        <item x="4"/>
        <item x="3"/>
        <item x="2"/>
        <item x="9"/>
        <item x="6"/>
        <item x="8"/>
        <item x="0"/>
        <item x="1"/>
      </items>
    </pivotField>
    <pivotField showAll="0" defaultSubtotal="0">
      <items count="17">
        <item x="13"/>
        <item x="6"/>
        <item x="16"/>
        <item x="5"/>
        <item x="14"/>
        <item x="15"/>
        <item x="7"/>
        <item x="11"/>
        <item x="2"/>
        <item x="8"/>
        <item x="3"/>
        <item x="12"/>
        <item x="4"/>
        <item x="9"/>
        <item x="10"/>
        <item x="0"/>
        <item x="1"/>
      </items>
    </pivotField>
    <pivotField dataField="1" showAll="0" defaultSubtotal="0">
      <items count="19">
        <item x="0"/>
        <item x="12"/>
        <item x="7"/>
        <item x="6"/>
        <item x="14"/>
        <item x="10"/>
        <item x="13"/>
        <item x="2"/>
        <item x="9"/>
        <item x="8"/>
        <item x="5"/>
        <item x="15"/>
        <item x="4"/>
        <item x="17"/>
        <item x="11"/>
        <item x="16"/>
        <item x="18"/>
        <item x="1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3">
        <item x="17"/>
        <item x="22"/>
        <item x="32"/>
        <item x="25"/>
        <item x="31"/>
        <item x="11"/>
        <item x="3"/>
        <item x="15"/>
        <item x="16"/>
        <item x="21"/>
        <item x="23"/>
        <item x="29"/>
        <item x="6"/>
        <item x="28"/>
        <item x="14"/>
        <item x="19"/>
        <item x="13"/>
        <item x="30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27" headerRowDxfId="39" dataDxfId="38" totalsRowDxfId="37">
  <autoFilter ref="A5:K127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ピンク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B9F30-439A-0F49-B898-BEB1E915D627}">
  <dimension ref="B1:X16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4" width="5.59765625" bestFit="1" customWidth="1"/>
    <col min="25" max="25" width="1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11.8984375" bestFit="1" customWidth="1"/>
  </cols>
  <sheetData>
    <row r="1" spans="2:24" ht="7.5" customHeight="1"/>
    <row r="2" spans="2:24">
      <c r="B2" s="7" t="s">
        <v>201</v>
      </c>
      <c r="C2" s="7" t="s">
        <v>197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</row>
    <row r="3" spans="2:24">
      <c r="B3" s="54"/>
      <c r="C3" s="53">
        <v>40</v>
      </c>
      <c r="D3" s="53">
        <v>90</v>
      </c>
      <c r="E3" s="53">
        <v>100</v>
      </c>
      <c r="F3" s="53">
        <v>115</v>
      </c>
      <c r="G3" s="53">
        <v>120</v>
      </c>
      <c r="H3" s="57">
        <v>125</v>
      </c>
      <c r="I3" s="58"/>
      <c r="J3" s="53">
        <v>130</v>
      </c>
      <c r="K3" s="53">
        <v>135</v>
      </c>
      <c r="L3" s="53">
        <v>140</v>
      </c>
      <c r="M3" s="53">
        <v>150</v>
      </c>
      <c r="N3" s="57">
        <v>155</v>
      </c>
      <c r="O3" s="58"/>
      <c r="P3" s="53">
        <v>160</v>
      </c>
      <c r="Q3" s="53">
        <v>165</v>
      </c>
      <c r="R3" s="53">
        <v>175</v>
      </c>
      <c r="S3" s="57">
        <v>185</v>
      </c>
      <c r="T3" s="58"/>
      <c r="U3" s="57">
        <v>205</v>
      </c>
      <c r="V3" s="58"/>
      <c r="W3" s="53">
        <v>215</v>
      </c>
      <c r="X3" s="53">
        <v>220</v>
      </c>
    </row>
    <row r="4" spans="2:24">
      <c r="B4" s="7" t="s">
        <v>0</v>
      </c>
      <c r="C4" s="53" t="s">
        <v>257</v>
      </c>
      <c r="D4" s="53" t="s">
        <v>257</v>
      </c>
      <c r="E4" s="53" t="s">
        <v>257</v>
      </c>
      <c r="F4" s="53" t="s">
        <v>257</v>
      </c>
      <c r="G4" s="53" t="s">
        <v>257</v>
      </c>
      <c r="H4" s="53" t="s">
        <v>267</v>
      </c>
      <c r="I4" s="53" t="s">
        <v>257</v>
      </c>
      <c r="J4" s="53" t="s">
        <v>257</v>
      </c>
      <c r="K4" s="53" t="s">
        <v>257</v>
      </c>
      <c r="L4" s="53" t="s">
        <v>257</v>
      </c>
      <c r="M4" s="53" t="s">
        <v>257</v>
      </c>
      <c r="N4" s="53" t="s">
        <v>267</v>
      </c>
      <c r="O4" s="53" t="s">
        <v>257</v>
      </c>
      <c r="P4" s="53" t="s">
        <v>257</v>
      </c>
      <c r="Q4" s="53" t="s">
        <v>257</v>
      </c>
      <c r="R4" s="53" t="s">
        <v>257</v>
      </c>
      <c r="S4" s="53" t="s">
        <v>267</v>
      </c>
      <c r="T4" s="53" t="s">
        <v>257</v>
      </c>
      <c r="U4" s="53" t="s">
        <v>267</v>
      </c>
      <c r="V4" s="53" t="s">
        <v>257</v>
      </c>
      <c r="W4" s="53" t="s">
        <v>257</v>
      </c>
      <c r="X4" s="53" t="s">
        <v>257</v>
      </c>
    </row>
    <row r="5" spans="2:24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230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100</v>
      </c>
    </row>
    <row r="12" spans="2:24">
      <c r="B12" s="5" t="s">
        <v>12</v>
      </c>
      <c r="C12" s="6"/>
      <c r="D12" s="6">
        <v>1100</v>
      </c>
      <c r="E12" s="6"/>
      <c r="F12" s="6"/>
      <c r="G12" s="6"/>
      <c r="H12" s="6"/>
      <c r="I12" s="6"/>
      <c r="J12" s="6">
        <v>1230</v>
      </c>
      <c r="K12" s="6"/>
      <c r="L12" s="6">
        <v>790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209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294</v>
      </c>
      <c r="C14" s="6"/>
      <c r="D14" s="6"/>
      <c r="E14" s="6">
        <v>1800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2:24">
      <c r="B15" s="5" t="s">
        <v>253</v>
      </c>
      <c r="C15" s="6"/>
      <c r="D15" s="6">
        <v>1620</v>
      </c>
      <c r="E15" s="6"/>
      <c r="F15" s="6">
        <v>50</v>
      </c>
      <c r="G15" s="6"/>
      <c r="H15" s="6">
        <v>1300</v>
      </c>
      <c r="I15" s="6">
        <v>650</v>
      </c>
      <c r="J15" s="6"/>
      <c r="K15" s="6"/>
      <c r="L15" s="6">
        <v>600</v>
      </c>
      <c r="M15" s="6"/>
      <c r="N15" s="6">
        <v>600</v>
      </c>
      <c r="O15" s="6">
        <v>0</v>
      </c>
      <c r="P15" s="6"/>
      <c r="Q15" s="6">
        <v>1600</v>
      </c>
      <c r="R15" s="6"/>
      <c r="S15" s="6">
        <v>700</v>
      </c>
      <c r="T15" s="6">
        <v>700</v>
      </c>
      <c r="U15" s="6">
        <v>20</v>
      </c>
      <c r="V15" s="6">
        <v>700</v>
      </c>
      <c r="W15" s="6">
        <v>600</v>
      </c>
      <c r="X15" s="6"/>
    </row>
    <row r="16" spans="2:24">
      <c r="B16" s="5" t="s">
        <v>229</v>
      </c>
      <c r="C16" s="6">
        <v>240</v>
      </c>
      <c r="D16" s="6"/>
      <c r="E16" s="6">
        <v>420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27"/>
  <sheetViews>
    <sheetView tabSelected="1" zoomScale="107" zoomScaleNormal="107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5" t="s">
        <v>254</v>
      </c>
      <c r="I2" s="61" t="s">
        <v>235</v>
      </c>
      <c r="J2" s="62"/>
      <c r="M2" s="30"/>
      <c r="N2" s="30"/>
      <c r="O2" s="30"/>
      <c r="P2" s="30"/>
    </row>
    <row r="3" spans="1:19" ht="23" thickBot="1">
      <c r="I3" s="59">
        <f>LastSavedTimeStamp()</f>
        <v>44175.426446759258</v>
      </c>
      <c r="J3" s="60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400</v>
      </c>
      <c r="I13" s="17">
        <v>100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500</v>
      </c>
      <c r="I23" s="17">
        <f t="shared" si="1"/>
        <v>100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50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51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9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19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276</v>
      </c>
      <c r="B80" s="16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550</v>
      </c>
      <c r="I80" s="17">
        <f t="shared" ref="I80:I85" si="8">G80-H80</f>
        <v>50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6" t="s">
        <v>277</v>
      </c>
      <c r="B83" s="49" t="s">
        <v>253</v>
      </c>
      <c r="C83" s="47">
        <v>165</v>
      </c>
      <c r="D83" s="47"/>
      <c r="E83" s="47">
        <v>600</v>
      </c>
      <c r="F83" s="47">
        <v>1</v>
      </c>
      <c r="G83" s="17">
        <f t="shared" si="7"/>
        <v>600</v>
      </c>
      <c r="H83" s="47">
        <v>600</v>
      </c>
      <c r="I83" s="17">
        <f t="shared" si="8"/>
        <v>0</v>
      </c>
      <c r="J83" s="48"/>
      <c r="K83" s="20" t="str">
        <f>CONCATENATE(Table2[[#This Row],[Specs]],Table2[[#This Row],[Width]],Table2[[#This Row],[Slitting]])</f>
        <v>y ユポ80 MDN 8GB165</v>
      </c>
    </row>
    <row r="84" spans="1:11">
      <c r="A84" s="46" t="s">
        <v>277</v>
      </c>
      <c r="B84" s="49" t="s">
        <v>253</v>
      </c>
      <c r="C84" s="47">
        <v>140</v>
      </c>
      <c r="D84" s="47"/>
      <c r="E84" s="47">
        <v>600</v>
      </c>
      <c r="F84" s="47">
        <v>1</v>
      </c>
      <c r="G84" s="17">
        <f t="shared" si="7"/>
        <v>600</v>
      </c>
      <c r="H84" s="47">
        <v>600</v>
      </c>
      <c r="I84" s="17">
        <f t="shared" si="8"/>
        <v>0</v>
      </c>
      <c r="J84" s="48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282</v>
      </c>
      <c r="B86" s="19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284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>
      <c r="A89" s="15" t="s">
        <v>286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>
      <c r="A90" s="15" t="s">
        <v>287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>
      <c r="A91" s="15" t="s">
        <v>288</v>
      </c>
      <c r="B91" s="19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8"/>
      <c r="K91" s="20" t="str">
        <f>CONCATENATE(Table2[[#This Row],[Specs]],Table2[[#This Row],[Width]],Table2[[#This Row],[Slitting]])</f>
        <v>y ユポ80 MDN 8GB165</v>
      </c>
    </row>
    <row r="92" spans="1:11">
      <c r="A92" s="15" t="s">
        <v>288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>
      <c r="A93" s="15" t="s">
        <v>287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>
      <c r="A94" s="15" t="s">
        <v>290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>
      <c r="A95" s="15" t="s">
        <v>290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>
      <c r="A96" s="15" t="s">
        <v>290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200</v>
      </c>
      <c r="I96" s="17">
        <f t="shared" si="12"/>
        <v>400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290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>
      <c r="A98" s="15" t="s">
        <v>290</v>
      </c>
      <c r="B98" s="16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8"/>
      <c r="K98" s="20" t="str">
        <f>CONCATENATE(Table2[[#This Row],[Specs]],Table2[[#This Row],[Width]],Table2[[#This Row],[Slitting]])</f>
        <v>y ユポ80 MDN 8GB155</v>
      </c>
    </row>
    <row r="99" spans="1:11">
      <c r="A99" s="15" t="s">
        <v>290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500</v>
      </c>
      <c r="I99" s="17">
        <f t="shared" si="12"/>
        <v>100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>
      <c r="A100" s="15" t="s">
        <v>291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>
      <c r="A101" s="15" t="s">
        <v>291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292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292</v>
      </c>
      <c r="B103" s="19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/>
      <c r="I103" s="17">
        <f t="shared" si="14"/>
        <v>600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>
      <c r="A104" s="15" t="s">
        <v>292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>
      <c r="A105" s="15" t="s">
        <v>293</v>
      </c>
      <c r="B105" s="16" t="s">
        <v>294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>
      <c r="A106" s="15" t="s">
        <v>295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295</v>
      </c>
      <c r="B107" s="16" t="s">
        <v>294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297</v>
      </c>
      <c r="B110" s="16" t="s">
        <v>298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>
      <c r="A111" s="15" t="s">
        <v>297</v>
      </c>
      <c r="B111" s="16" t="s">
        <v>298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>
      <c r="A112" s="15" t="s">
        <v>300</v>
      </c>
      <c r="B112" s="16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500</v>
      </c>
      <c r="I112" s="17">
        <f t="shared" si="16"/>
        <v>100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>
      <c r="A113" s="15" t="s">
        <v>301</v>
      </c>
      <c r="B113" s="19" t="s">
        <v>253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8"/>
      <c r="K113" s="20" t="str">
        <f>CONCATENATE(Table2[[#This Row],[Specs]],Table2[[#This Row],[Width]],Table2[[#This Row],[Slitting]])</f>
        <v>y ユポ80 MDN 8GB165</v>
      </c>
    </row>
    <row r="114" spans="1:11">
      <c r="A114" s="15" t="s">
        <v>301</v>
      </c>
      <c r="B114" s="19" t="s">
        <v>253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8"/>
      <c r="K114" s="20" t="str">
        <f>CONCATENATE(Table2[[#This Row],[Specs]],Table2[[#This Row],[Width]],Table2[[#This Row],[Slitting]])</f>
        <v>y ユポ80 MDN 8GB165</v>
      </c>
    </row>
    <row r="115" spans="1:11">
      <c r="A115" s="15" t="s">
        <v>301</v>
      </c>
      <c r="B115" s="19" t="s">
        <v>261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8"/>
      <c r="K115" s="20" t="str">
        <f>CONCATENATE(Table2[[#This Row],[Specs]],Table2[[#This Row],[Width]],Table2[[#This Row],[Slitting]])</f>
        <v>j 上質&lt;70&gt; ME 7GB160</v>
      </c>
    </row>
    <row r="116" spans="1:11">
      <c r="A116" s="15" t="s">
        <v>301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8"/>
      <c r="K116" s="20" t="str">
        <f>CONCATENATE(Table2[[#This Row],[Specs]],Table2[[#This Row],[Width]],Table2[[#This Row],[Slitting]])</f>
        <v>j 上質&lt;70&gt; ME 7GB160</v>
      </c>
    </row>
    <row r="117" spans="1:11">
      <c r="A117" s="15" t="s">
        <v>302</v>
      </c>
      <c r="B117" s="19" t="s">
        <v>253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8"/>
      <c r="K117" s="20" t="str">
        <f>CONCATENATE(Table2[[#This Row],[Specs]],Table2[[#This Row],[Width]],Table2[[#This Row],[Slitting]])</f>
        <v>y ユポ80 MDN 8GB165</v>
      </c>
    </row>
    <row r="118" spans="1:11">
      <c r="A118" s="15" t="s">
        <v>302</v>
      </c>
      <c r="B118" s="19" t="s">
        <v>253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8"/>
      <c r="K118" s="20" t="str">
        <f>CONCATENATE(Table2[[#This Row],[Specs]],Table2[[#This Row],[Width]],Table2[[#This Row],[Slitting]])</f>
        <v>y ユポ80 MDN 8GB165</v>
      </c>
    </row>
    <row r="119" spans="1:11">
      <c r="A119" s="15" t="s">
        <v>302</v>
      </c>
      <c r="B119" s="16" t="s">
        <v>253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200</v>
      </c>
      <c r="I119" s="17">
        <f t="shared" si="18"/>
        <v>400</v>
      </c>
      <c r="J119" s="18"/>
      <c r="K119" s="20" t="str">
        <f>CONCATENATE(Table2[[#This Row],[Specs]],Table2[[#This Row],[Width]],Table2[[#This Row],[Slitting]])</f>
        <v>y ユポ80 MDN 8GB165</v>
      </c>
    </row>
    <row r="120" spans="1:11">
      <c r="A120" s="15" t="s">
        <v>303</v>
      </c>
      <c r="B120" s="19" t="s">
        <v>253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8"/>
      <c r="K120" s="20" t="str">
        <f>CONCATENATE(Table2[[#This Row],[Specs]],Table2[[#This Row],[Width]],Table2[[#This Row],[Slitting]])</f>
        <v>y ユポ80 MDN 8GB165</v>
      </c>
    </row>
    <row r="121" spans="1:11">
      <c r="A121" s="15" t="s">
        <v>303</v>
      </c>
      <c r="B121" s="18" t="s">
        <v>253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/>
      <c r="I121" s="17">
        <f t="shared" ref="I121:I127" si="20">G121-H121</f>
        <v>600</v>
      </c>
      <c r="J121" s="18"/>
      <c r="K121" s="20" t="str">
        <f>CONCATENATE(Table2[[#This Row],[Specs]],Table2[[#This Row],[Width]],Table2[[#This Row],[Slitting]])</f>
        <v>y ユポ80 MDN 8GB185</v>
      </c>
    </row>
    <row r="122" spans="1:11">
      <c r="A122" s="15" t="s">
        <v>303</v>
      </c>
      <c r="B122" s="18" t="s">
        <v>253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/>
      <c r="I122" s="17">
        <f t="shared" si="20"/>
        <v>600</v>
      </c>
      <c r="J122" s="18"/>
      <c r="K122" s="20" t="str">
        <f>CONCATENATE(Table2[[#This Row],[Specs]],Table2[[#This Row],[Width]],Table2[[#This Row],[Slitting]])</f>
        <v>y ユポ80 MDN 8GB125</v>
      </c>
    </row>
    <row r="123" spans="1:11">
      <c r="A123" s="15" t="s">
        <v>304</v>
      </c>
      <c r="B123" s="18" t="s">
        <v>253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/>
      <c r="I123" s="17">
        <f t="shared" si="20"/>
        <v>600</v>
      </c>
      <c r="J123" s="18"/>
      <c r="K123" s="20" t="str">
        <f>CONCATENATE(Table2[[#This Row],[Specs]],Table2[[#This Row],[Width]],Table2[[#This Row],[Slitting]])</f>
        <v>y ユポ80 MDN 8GB165</v>
      </c>
    </row>
    <row r="124" spans="1:11">
      <c r="A124" s="15" t="s">
        <v>304</v>
      </c>
      <c r="B124" s="18" t="s">
        <v>253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/>
      <c r="I124" s="17">
        <f t="shared" si="20"/>
        <v>600</v>
      </c>
      <c r="J124" s="18"/>
      <c r="K124" s="20" t="str">
        <f>CONCATENATE(Table2[[#This Row],[Specs]],Table2[[#This Row],[Width]],Table2[[#This Row],[Slitting]])</f>
        <v>y ユポ80 MDN 8GB165</v>
      </c>
    </row>
    <row r="125" spans="1:11">
      <c r="A125" s="15" t="s">
        <v>305</v>
      </c>
      <c r="B125" s="16" t="s">
        <v>253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/>
      <c r="I125" s="17">
        <f t="shared" si="20"/>
        <v>600</v>
      </c>
      <c r="J125" s="18"/>
      <c r="K125" s="20" t="str">
        <f>CONCATENATE(Table2[[#This Row],[Specs]],Table2[[#This Row],[Width]],Table2[[#This Row],[Slitting]])</f>
        <v>y ユポ80 MDN 8GB140</v>
      </c>
    </row>
    <row r="126" spans="1:11">
      <c r="A126" s="15" t="s">
        <v>306</v>
      </c>
      <c r="B126" s="18" t="s">
        <v>12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8"/>
      <c r="K126" s="20" t="str">
        <f>CONCATENATE(Table2[[#This Row],[Specs]],Table2[[#This Row],[Width]],Table2[[#This Row],[Slitting]])</f>
        <v>Nキャスト&lt;73&gt;ME80E140</v>
      </c>
    </row>
    <row r="127" spans="1:11">
      <c r="A127" s="15"/>
      <c r="B127" s="16"/>
      <c r="C127" s="17"/>
      <c r="D127" s="17"/>
      <c r="E127" s="17"/>
      <c r="F127" s="17"/>
      <c r="G127" s="17">
        <f t="shared" si="19"/>
        <v>0</v>
      </c>
      <c r="H127" s="17"/>
      <c r="I127" s="17">
        <f t="shared" si="20"/>
        <v>0</v>
      </c>
      <c r="J127" s="18"/>
      <c r="K127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14" activePane="bottomLeft" state="frozen"/>
      <selection pane="bottomLeft" activeCell="D18" sqref="D18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0976562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 t="s">
        <v>307</v>
      </c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44173.693726851852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 hidden="1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 hidden="1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 hidden="1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 hidden="1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 hidden="1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 hidden="1">
      <c r="A11" s="24">
        <v>7</v>
      </c>
      <c r="B11" s="22" t="s">
        <v>22</v>
      </c>
      <c r="C11" s="22">
        <v>391</v>
      </c>
      <c r="D11" s="22" t="s">
        <v>289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 hidden="1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 hidden="1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 hidden="1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 hidden="1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 hidden="1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 hidden="1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 hidden="1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 hidden="1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 hidden="1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 hidden="1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 hidden="1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 hidden="1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 hidden="1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 hidden="1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 hidden="1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 hidden="1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 hidden="1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 hidden="1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 hidden="1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 hidden="1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 hidden="1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 hidden="1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 hidden="1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 hidden="1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 hidden="1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 hidden="1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 hidden="1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 hidden="1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 hidden="1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 hidden="1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 hidden="1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 hidden="1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 hidden="1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 hidden="1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 hidden="1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 hidden="1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 hidden="1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 hidden="1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 hidden="1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 hidden="1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 hidden="1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 hidden="1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 hidden="1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 hidden="1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 hidden="1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 hidden="1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 hidden="1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 hidden="1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 hidden="1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 hidden="1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 hidden="1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 hidden="1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 hidden="1">
      <c r="A75" s="24">
        <v>73</v>
      </c>
      <c r="B75" s="22" t="s">
        <v>22</v>
      </c>
      <c r="C75" s="22">
        <v>191</v>
      </c>
      <c r="D75" s="55" t="s">
        <v>84</v>
      </c>
      <c r="E75" s="22">
        <v>0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 hidden="1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 hidden="1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 hidden="1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 hidden="1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 hidden="1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 hidden="1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 hidden="1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 hidden="1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 hidden="1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 hidden="1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 hidden="1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 hidden="1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 hidden="1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 hidden="1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 hidden="1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 hidden="1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 hidden="1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 hidden="1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 hidden="1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 hidden="1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 hidden="1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 hidden="1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 hidden="1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 hidden="1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 hidden="1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 hidden="1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 hidden="1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 hidden="1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 hidden="1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 hidden="1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 hidden="1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 hidden="1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 hidden="1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 hidden="1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 hidden="1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 hidden="1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 hidden="1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 hidden="1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 hidden="1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 hidden="1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 hidden="1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 hidden="1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 hidden="1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 hidden="1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 hidden="1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 hidden="1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 hidden="1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 hidden="1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 hidden="1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 hidden="1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 hidden="1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 hidden="1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 hidden="1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 hidden="1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 hidden="1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 hidden="1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 hidden="1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 hidden="1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 hidden="1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 hidden="1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 hidden="1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 hidden="1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 hidden="1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 hidden="1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 hidden="1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 hidden="1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 hidden="1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 hidden="1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 hidden="1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 hidden="1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 hidden="1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 hidden="1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 hidden="1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 hidden="1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 hidden="1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 hidden="1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 hidden="1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 hidden="1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 hidden="1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 hidden="1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 hidden="1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 hidden="1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 hidden="1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 hidden="1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 hidden="1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 hidden="1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 hidden="1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 hidden="1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 hidden="1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 hidden="1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 hidden="1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 hidden="1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 hidden="1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 hidden="1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 hidden="1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 hidden="1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 hidden="1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 hidden="1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 hidden="1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 hidden="1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 hidden="1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 hidden="1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 hidden="1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 hidden="1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 hidden="1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 hidden="1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 hidden="1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 hidden="1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 hidden="1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 hidden="1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 hidden="1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 hidden="1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 hidden="1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 hidden="1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 hidden="1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 hidden="1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 hidden="1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 hidden="1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 hidden="1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 hidden="1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 hidden="1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 hidden="1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 hidden="1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 hidden="1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 hidden="1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 hidden="1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 hidden="1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 hidden="1">
      <c r="A210" s="27"/>
      <c r="B210" s="28" t="s">
        <v>22</v>
      </c>
      <c r="C210" s="28">
        <v>353</v>
      </c>
      <c r="D210" s="28" t="s">
        <v>296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　黄</v>
      </c>
    </row>
    <row r="211" spans="1:8" ht="20" hidden="1">
      <c r="A211" s="27"/>
      <c r="B211" s="28" t="s">
        <v>22</v>
      </c>
      <c r="C211" s="28">
        <v>102</v>
      </c>
      <c r="D211" s="28" t="s">
        <v>274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 hidden="1">
      <c r="A212" s="27"/>
      <c r="B212" s="28" t="s">
        <v>22</v>
      </c>
      <c r="C212" s="28">
        <v>131</v>
      </c>
      <c r="D212" s="56" t="s">
        <v>283</v>
      </c>
      <c r="E212" s="28">
        <v>9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 hidden="1">
      <c r="A213" s="27"/>
      <c r="B213" s="28" t="s">
        <v>22</v>
      </c>
      <c r="C213" s="28">
        <v>131</v>
      </c>
      <c r="D213" s="28" t="s">
        <v>283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 hidden="1">
      <c r="A214" s="27"/>
      <c r="B214" s="28" t="s">
        <v>22</v>
      </c>
      <c r="C214" s="28">
        <v>131</v>
      </c>
      <c r="D214" s="28" t="s">
        <v>283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 hidden="1">
      <c r="A215" s="27"/>
      <c r="B215" s="28" t="s">
        <v>22</v>
      </c>
      <c r="C215" s="28">
        <v>193</v>
      </c>
      <c r="D215" s="28" t="s">
        <v>182</v>
      </c>
      <c r="E215" s="28">
        <v>9</v>
      </c>
      <c r="F215" s="23">
        <v>44123</v>
      </c>
      <c r="G215" s="28"/>
      <c r="H215" s="29" t="str">
        <f>CONCATENATE(Table1[[#This Row],[Order Code]],Table1[[#This Row],[NAME]])</f>
        <v>193D-224 紫</v>
      </c>
    </row>
    <row r="216" spans="1:8" ht="20" hidden="1">
      <c r="A216" s="27"/>
      <c r="B216" s="28" t="s">
        <v>215</v>
      </c>
      <c r="C216" s="28">
        <v>102</v>
      </c>
      <c r="D216" s="52" t="s">
        <v>299</v>
      </c>
      <c r="E216" s="28">
        <v>10</v>
      </c>
      <c r="F216" s="23">
        <v>44127</v>
      </c>
      <c r="G216" s="28"/>
      <c r="H216" s="29" t="str">
        <f>CONCATENATE(Table1[[#This Row],[Order Code]],Table1[[#This Row],[NAME]])</f>
        <v>102ユタカ　FG　草</v>
      </c>
    </row>
    <row r="217" spans="1:8" ht="20" hidden="1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 hidden="1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 hidden="1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 hidden="1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 hidden="1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 hidden="1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 hidden="1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 hidden="1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 hidden="1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 hidden="1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 hidden="1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 hidden="1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 hidden="1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 hidden="1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 hidden="1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 hidden="1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 hidden="1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 hidden="1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 hidden="1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 hidden="1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 hidden="1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 hidden="1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 hidden="1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0" bestFit="1" customWidth="1"/>
    <col min="2" max="2" width="22.296875" style="37" customWidth="1"/>
    <col min="3" max="3" width="30.69921875" style="38" customWidth="1"/>
    <col min="4" max="4" width="9.296875" style="39" customWidth="1"/>
    <col min="5" max="5" width="17.69921875" style="39" customWidth="1"/>
    <col min="6" max="16384" width="8.69921875" style="35"/>
  </cols>
  <sheetData>
    <row r="1" spans="1:5" ht="26" thickBot="1">
      <c r="A1" s="63" t="s">
        <v>233</v>
      </c>
      <c r="B1" s="64"/>
      <c r="C1" s="44" t="s">
        <v>273</v>
      </c>
      <c r="D1" s="44" t="s">
        <v>2</v>
      </c>
      <c r="E1" s="41"/>
    </row>
    <row r="2" spans="1:5" ht="46">
      <c r="A2" s="36">
        <v>44061</v>
      </c>
      <c r="B2" s="43" t="s">
        <v>232</v>
      </c>
    </row>
    <row r="3" spans="1:5" ht="23">
      <c r="A3" s="36">
        <v>44062</v>
      </c>
      <c r="B3" s="42" t="s">
        <v>249</v>
      </c>
    </row>
    <row r="4" spans="1:5" ht="69">
      <c r="A4" s="36">
        <v>44063</v>
      </c>
      <c r="B4" s="42" t="s">
        <v>234</v>
      </c>
    </row>
    <row r="5" spans="1:5" ht="69">
      <c r="A5" s="36">
        <v>44064</v>
      </c>
      <c r="B5" s="42" t="s">
        <v>266</v>
      </c>
    </row>
    <row r="6" spans="1:5" ht="46">
      <c r="B6" s="42" t="s">
        <v>271</v>
      </c>
    </row>
  </sheetData>
  <mergeCells count="1">
    <mergeCell ref="A1:B1"/>
  </mergeCells>
  <phoneticPr fontId="18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2020-12-10T01:14:21Z</dcterms:modified>
</cp:coreProperties>
</file>