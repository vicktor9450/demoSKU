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06DBE834-9503-2844-B7EA-80B324053688}" xr6:coauthVersionLast="45" xr6:coauthVersionMax="45" xr10:uidLastSave="{00000000-0000-0000-0000-000000000000}"/>
  <bookViews>
    <workbookView xWindow="0" yWindow="500" windowWidth="25600" windowHeight="12700" activeTab="4" xr2:uid="{00000000-000D-0000-FFFF-FFFF00000000}"/>
  </bookViews>
  <sheets>
    <sheet name="PaperSummary" sheetId="268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Paper!$A$5:$J$133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8"/>
  </pivotCaches>
</workbook>
</file>

<file path=xl/calcChain.xml><?xml version="1.0" encoding="utf-8"?>
<calcChain xmlns="http://schemas.openxmlformats.org/spreadsheetml/2006/main">
  <c r="G133" i="2" l="1"/>
  <c r="I133" i="2" s="1"/>
  <c r="K133" i="2"/>
  <c r="G132" i="2"/>
  <c r="I132" i="2" s="1"/>
  <c r="K132" i="2"/>
  <c r="G131" i="2"/>
  <c r="I131" i="2" s="1"/>
  <c r="K131" i="2"/>
  <c r="I3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<sst xmlns="http://schemas.openxmlformats.org/spreadsheetml/2006/main" count="913" uniqueCount="321">
  <si>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</si>
  <si>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</si>
  <si>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</si>
  <si>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</si>
  <si>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</si>
  <si>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</si>
  <si>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</si>
  <si>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</si>
  <si>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</si>
  <si>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</si>
  <si>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</si>
  <si>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</si>
  <si>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</si>
  <si>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</si>
  <si>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</si>
  <si>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</si>
  <si>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</si>
  <si>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</si>
  <si>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</si>
  <si>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</si>
  <si>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</si>
  <si>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</si>
  <si>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</si>
  <si>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</si>
  <si>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</si>
  <si>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</si>
  <si>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</si>
  <si>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</si>
  <si>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</si>
  <si>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</si>
  <si>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</si>
  <si>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</si>
  <si>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</si>
  <si>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</si>
  <si>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</si>
  <si>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</si>
  <si>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</si>
  <si>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</si>
  <si>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</si>
  <si>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</si>
  <si>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</si>
  <si>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</si>
  <si>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</si>
  <si>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</si>
  <si>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</si>
  <si>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</si>
  <si>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</si>
  <si>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</si>
  <si>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</si>
  <si>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</si>
  <si>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</si>
  <si>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</si>
  <si>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</si>
  <si>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</si>
  <si>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</si>
  <si>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</si>
  <si>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</si>
  <si>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</si>
  <si>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</si>
  <si>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</si>
  <si>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</si>
  <si>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</si>
  <si>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</si>
  <si>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</si>
  <si>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</si>
  <si>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</si>
  <si>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</si>
  <si>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</si>
  <si>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</si>
  <si>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</si>
  <si>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</si>
  <si>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</si>
  <si>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</si>
  <si>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</si>
  <si>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</si>
  <si>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</si>
  <si>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</si>
  <si>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</si>
  <si>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</si>
  <si>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</si>
  <si>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</si>
  <si>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</si>
  <si>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</si>
  <si>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</si>
  <si>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</si>
  <si>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</si>
  <si>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</si>
  <si>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</si>
  <si>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</si>
  <si>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</si>
  <si>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</si>
  <si>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</si>
  <si>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</si>
  <si>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</si>
  <si>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</si>
  <si>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</si>
  <si>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</si>
  <si>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</si>
  <si>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</si>
  <si>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</si>
  <si>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</si>
  <si>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</si>
  <si>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</si>
  <si>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</si>
  <si>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</si>
  <si>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</si>
  <si>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</si>
  <si>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</si>
  <si>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</si>
  <si>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</si>
  <si>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</si>
  <si>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</si>
  <si>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</si>
  <si>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</si>
  <si>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</si>
  <si>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</si>
  <si>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</si>
  <si>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</si>
  <si>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</si>
  <si>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</si>
  <si>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</si>
  <si>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</si>
  <si>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</si>
  <si>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</si>
  <si>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</si>
  <si>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</si>
  <si>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</si>
  <si>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</si>
  <si>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</si>
  <si>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</si>
  <si>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</si>
  <si>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</si>
  <si>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</si>
  <si>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</si>
  <si>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</si>
  <si>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</si>
  <si>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</si>
  <si>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</si>
  <si>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</si>
  <si>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</si>
  <si>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</si>
  <si>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</si>
  <si>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</si>
  <si>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</si>
  <si>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</si>
  <si>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</si>
  <si>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</si>
  <si>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</si>
  <si>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</si>
  <si>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</si>
  <si>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</si>
  <si>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</si>
  <si>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</si>
  <si>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</si>
  <si>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</si>
  <si>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</si>
  <si>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</si>
  <si>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</si>
  <si>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</si>
  <si>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</si>
  <si>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</si>
  <si>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</si>
  <si>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</si>
  <si>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</si>
  <si>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</si>
  <si>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</si>
  <si>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</si>
  <si>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</si>
  <si>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</si>
  <si>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</si>
  <si>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</si>
  <si>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</si>
  <si>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</si>
  <si>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</si>
  <si>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</si>
  <si>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</si>
  <si>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</si>
  <si>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</si>
  <si>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</si>
  <si>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</si>
  <si>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</si>
  <si>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</si>
  <si>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</si>
  <si>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</si>
  <si>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</si>
  <si>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</si>
  <si>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</si>
  <si>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</si>
  <si>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</si>
  <si>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</si>
  <si>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</si>
  <si>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</si>
  <si>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</si>
  <si>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</si>
  <si>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</si>
  <si>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</si>
  <si>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</si>
  <si>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</si>
  <si>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</si>
  <si>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</si>
  <si>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</si>
  <si>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</si>
  <si>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</si>
  <si>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</si>
  <si>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</si>
  <si>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</si>
  <si>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</si>
  <si>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</si>
  <si>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</si>
  <si>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</si>
  <si>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</si>
  <si>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</si>
  <si>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</si>
  <si>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</si>
  <si>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</si>
  <si>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</si>
  <si>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</si>
  <si>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</si>
  <si>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</si>
  <si>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</si>
  <si>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</si>
  <si>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</si>
  <si>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</si>
  <si>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</si>
  <si>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</si>
  <si>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</si>
  <si>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</si>
  <si>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</si>
  <si>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</si>
  <si>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</si>
  <si>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</si>
  <si>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</si>
  <si>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</si>
  <si>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</si>
  <si>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</si>
  <si>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</si>
  <si>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</si>
  <si>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</si>
  <si>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</si>
  <si>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</si>
  <si>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</si>
  <si>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</si>
  <si>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</si>
  <si>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</si>
  <si>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</si>
  <si>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</si>
  <si>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</si>
  <si>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</si>
  <si>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</si>
  <si>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</si>
  <si>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</si>
  <si>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</si>
  <si>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</si>
  <si>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</si>
  <si>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</si>
  <si>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</si>
  <si>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</si>
  <si>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</si>
  <si>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</si>
  <si>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</si>
  <si>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</si>
  <si>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</si>
  <si>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</si>
  <si>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</si>
  <si>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</si>
  <si>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</si>
  <si>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</si>
  <si>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</si>
  <si>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</si>
  <si>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</si>
  <si>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</si>
  <si>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</si>
  <si>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</si>
  <si>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</si>
  <si>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</si>
  <si>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</si>
  <si>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</si>
  <si>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</si>
  <si>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</si>
  <si>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</si>
  <si>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</si>
  <si>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</si>
  <si>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</si>
  <si>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</si>
  <si>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</si>
  <si>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</si>
  <si>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</si>
  <si>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</si>
  <si>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</si>
  <si>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</si>
  <si>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</si>
  <si>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</si>
  <si>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</si>
  <si>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</si>
  <si>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</si>
  <si>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</si>
  <si>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</si>
  <si>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</si>
  <si>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</si>
  <si>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</si>
  <si>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</si>
  <si>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</si>
  <si>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</si>
  <si>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</si>
  <si>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</si>
  <si>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</si>
  <si>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</si>
  <si>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</si>
  <si>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</si>
  <si>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</si>
  <si>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</si>
  <si>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Need to review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</si>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</sst>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3" fillId="5" borderId="0" xfId="0" applyFont="1" applyFill="1" applyAlignment="1">
      <alignment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6" fillId="0" borderId="15" xfId="0" applyNumberFormat="1" applyFont="1" applyBorder="1" applyAlignment="1">
      <alignment vertical="center"/>
    </xf>
    <xf numFmtId="0" fontId="17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0" fillId="0" borderId="0" xfId="0" applyNumberFormat="1" applyFont="1" applyAlignment="1"/>
    <xf numFmtId="0" fontId="0" fillId="0" borderId="2" xfId="0" applyFont="1" applyBorder="1" applyAlignment="1"/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9.36119826389" createdVersion="3" refreshedVersion="6" minRefreshableVersion="3" recordCount="127" xr:uid="{D16DD7A1-1A37-FE4F-B6DB-F601F56EB9FB}">
  <cacheSource type="worksheet">
    <worksheetSource ref="A5:K132" sheet="Paper"/>
  </cacheSource>
  <cacheFields count="11">
    <cacheField name="Arrival" numFmtId="49">
      <sharedItems count="5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500"/>
        <n v="570"/>
        <n v="180"/>
        <n v="70"/>
        <n v="300"/>
        <n v="480"/>
        <n v="580"/>
        <n v="585"/>
        <n v="380"/>
        <n v="10"/>
        <n v="400"/>
        <n v="200"/>
        <n v="100"/>
        <n v="250"/>
        <n v="80"/>
        <n v="550"/>
        <n v="10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100"/>
        <n v="300"/>
        <n v="200"/>
        <n v="30"/>
        <n v="20"/>
        <n v="130"/>
        <n v="120"/>
        <n v="60"/>
        <n v="400"/>
        <n v="15"/>
        <n v="80"/>
        <n v="29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2"/>
    <x v="3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2"/>
    <x v="3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6"/>
    <x v="2"/>
    <x v="6"/>
  </r>
  <r>
    <x v="12"/>
    <x v="3"/>
    <x v="3"/>
    <x v="1"/>
    <x v="2"/>
    <x v="0"/>
    <x v="3"/>
    <x v="4"/>
    <x v="7"/>
    <x v="0"/>
    <x v="13"/>
  </r>
  <r>
    <x v="12"/>
    <x v="3"/>
    <x v="3"/>
    <x v="1"/>
    <x v="2"/>
    <x v="0"/>
    <x v="3"/>
    <x v="5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6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7"/>
    <x v="9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7"/>
    <x v="9"/>
    <x v="1"/>
    <x v="16"/>
  </r>
  <r>
    <x v="12"/>
    <x v="1"/>
    <x v="3"/>
    <x v="1"/>
    <x v="0"/>
    <x v="0"/>
    <x v="0"/>
    <x v="6"/>
    <x v="4"/>
    <x v="1"/>
    <x v="16"/>
  </r>
  <r>
    <x v="12"/>
    <x v="1"/>
    <x v="3"/>
    <x v="1"/>
    <x v="0"/>
    <x v="0"/>
    <x v="0"/>
    <x v="8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8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9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0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0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6"/>
    <x v="0"/>
    <x v="0"/>
    <x v="14"/>
  </r>
  <r>
    <x v="30"/>
    <x v="2"/>
    <x v="8"/>
    <x v="1"/>
    <x v="1"/>
    <x v="0"/>
    <x v="2"/>
    <x v="11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12"/>
    <x v="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3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3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7"/>
    <x v="18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6"/>
    <x v="4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A9493-CC08-5043-9632-DDAE99F6067C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0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1"/>
        <item x="5"/>
        <item x="16"/>
        <item x="14"/>
        <item x="4"/>
        <item x="13"/>
        <item x="15"/>
        <item x="6"/>
        <item x="10"/>
        <item x="12"/>
        <item x="7"/>
        <item x="2"/>
        <item x="17"/>
        <item x="3"/>
        <item x="8"/>
        <item x="9"/>
        <item x="0"/>
        <item x="18"/>
        <item x="1"/>
      </items>
    </pivotField>
    <pivotField dataField="1" showAll="0" defaultSubtotal="0">
      <items count="19">
        <item x="0"/>
        <item x="12"/>
        <item x="7"/>
        <item x="6"/>
        <item x="18"/>
        <item x="10"/>
        <item x="13"/>
        <item x="3"/>
        <item x="9"/>
        <item x="8"/>
        <item x="5"/>
        <item x="14"/>
        <item x="4"/>
        <item x="16"/>
        <item x="11"/>
        <item x="15"/>
        <item x="17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3" headerRowDxfId="39" dataDxfId="38" totalsRowDxfId="37">
  <autoFilter ref="A5:K13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F9E1D-32A6-2F49-BD7D-0A6C764212BC}">
  <dimension ref="B1:Y1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2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</row>
    <row r="3" spans="2:25">
      <c r="B3" s="51"/>
      <c r="C3" s="50">
        <v>40</v>
      </c>
      <c r="D3" s="50">
        <v>90</v>
      </c>
      <c r="E3" s="50">
        <v>100</v>
      </c>
      <c r="F3" s="50">
        <v>115</v>
      </c>
      <c r="G3" s="50">
        <v>120</v>
      </c>
      <c r="H3" s="52">
        <v>125</v>
      </c>
      <c r="I3" s="53"/>
      <c r="J3" s="50">
        <v>130</v>
      </c>
      <c r="K3" s="50">
        <v>135</v>
      </c>
      <c r="L3" s="50">
        <v>140</v>
      </c>
      <c r="M3" s="50">
        <v>150</v>
      </c>
      <c r="N3" s="52">
        <v>155</v>
      </c>
      <c r="O3" s="53"/>
      <c r="P3" s="50">
        <v>160</v>
      </c>
      <c r="Q3" s="50">
        <v>165</v>
      </c>
      <c r="R3" s="50">
        <v>175</v>
      </c>
      <c r="S3" s="52">
        <v>185</v>
      </c>
      <c r="T3" s="53"/>
      <c r="U3" s="52">
        <v>205</v>
      </c>
      <c r="V3" s="53"/>
      <c r="W3" s="50">
        <v>210</v>
      </c>
      <c r="X3" s="50">
        <v>215</v>
      </c>
      <c r="Y3" s="50">
        <v>220</v>
      </c>
    </row>
    <row r="4" spans="2:25">
      <c r="B4" s="7" t="s">
        <v>0</v>
      </c>
      <c r="C4" s="50" t="s">
        <v>257</v>
      </c>
      <c r="D4" s="50" t="s">
        <v>257</v>
      </c>
      <c r="E4" s="50" t="s">
        <v>257</v>
      </c>
      <c r="F4" s="50" t="s">
        <v>257</v>
      </c>
      <c r="G4" s="50" t="s">
        <v>257</v>
      </c>
      <c r="H4" s="50" t="s">
        <v>267</v>
      </c>
      <c r="I4" s="50" t="s">
        <v>257</v>
      </c>
      <c r="J4" s="50" t="s">
        <v>257</v>
      </c>
      <c r="K4" s="50" t="s">
        <v>257</v>
      </c>
      <c r="L4" s="50" t="s">
        <v>257</v>
      </c>
      <c r="M4" s="50" t="s">
        <v>257</v>
      </c>
      <c r="N4" s="50" t="s">
        <v>267</v>
      </c>
      <c r="O4" s="50" t="s">
        <v>257</v>
      </c>
      <c r="P4" s="50" t="s">
        <v>257</v>
      </c>
      <c r="Q4" s="50" t="s">
        <v>257</v>
      </c>
      <c r="R4" s="50" t="s">
        <v>257</v>
      </c>
      <c r="S4" s="50" t="s">
        <v>267</v>
      </c>
      <c r="T4" s="50" t="s">
        <v>257</v>
      </c>
      <c r="U4" s="50" t="s">
        <v>267</v>
      </c>
      <c r="V4" s="50" t="s">
        <v>257</v>
      </c>
      <c r="W4" s="50" t="s">
        <v>257</v>
      </c>
      <c r="X4" s="50" t="s">
        <v>257</v>
      </c>
      <c r="Y4" s="50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307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293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50</v>
      </c>
      <c r="J17" s="6"/>
      <c r="K17" s="6"/>
      <c r="L17" s="6">
        <v>600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3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0" t="s">
        <v>254</v>
      </c>
      <c r="I2" s="56" t="s">
        <v>235</v>
      </c>
      <c r="J2" s="57"/>
      <c r="M2" s="29"/>
      <c r="N2" s="29"/>
      <c r="O2" s="29"/>
      <c r="P2" s="29"/>
    </row>
    <row r="3" spans="1:19" ht="23" thickBot="1">
      <c r="I3" s="54">
        <f>LastSavedTimeStamp()</f>
        <v>44189.361111111109</v>
      </c>
      <c r="J3" s="55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5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6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274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275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277</v>
      </c>
      <c r="B81" s="19" t="s">
        <v>278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277</v>
      </c>
      <c r="B82" s="19" t="s">
        <v>278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1" t="s">
        <v>276</v>
      </c>
      <c r="B83" s="44" t="s">
        <v>253</v>
      </c>
      <c r="C83" s="42">
        <v>165</v>
      </c>
      <c r="D83" s="42"/>
      <c r="E83" s="42">
        <v>600</v>
      </c>
      <c r="F83" s="42">
        <v>1</v>
      </c>
      <c r="G83" s="17">
        <f t="shared" si="7"/>
        <v>600</v>
      </c>
      <c r="H83" s="42">
        <v>600</v>
      </c>
      <c r="I83" s="17">
        <f t="shared" si="8"/>
        <v>0</v>
      </c>
      <c r="J83" s="43"/>
      <c r="K83" s="20" t="str">
        <f>CONCATENATE(Table2[[#This Row],[Specs]],Table2[[#This Row],[Width]],Table2[[#This Row],[Slitting]])</f>
        <v>y ユポ80 MDN 8GB165</v>
      </c>
    </row>
    <row r="84" spans="1:11">
      <c r="A84" s="41" t="s">
        <v>276</v>
      </c>
      <c r="B84" s="44" t="s">
        <v>253</v>
      </c>
      <c r="C84" s="42">
        <v>140</v>
      </c>
      <c r="D84" s="42"/>
      <c r="E84" s="42">
        <v>600</v>
      </c>
      <c r="F84" s="42">
        <v>1</v>
      </c>
      <c r="G84" s="17">
        <f t="shared" si="7"/>
        <v>600</v>
      </c>
      <c r="H84" s="42">
        <v>600</v>
      </c>
      <c r="I84" s="17">
        <f t="shared" si="8"/>
        <v>0</v>
      </c>
      <c r="J84" s="43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279</v>
      </c>
      <c r="B85" s="19" t="s">
        <v>280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281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283</v>
      </c>
      <c r="B87" s="19" t="s">
        <v>284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283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285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286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287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287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286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289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289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289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289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289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289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290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290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291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291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292</v>
      </c>
      <c r="B105" s="16" t="s">
        <v>293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294</v>
      </c>
      <c r="B106" s="16" t="s">
        <v>293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294</v>
      </c>
      <c r="B107" s="16" t="s">
        <v>293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294</v>
      </c>
      <c r="B108" s="16" t="s">
        <v>293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294</v>
      </c>
      <c r="B109" s="16" t="s">
        <v>293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296</v>
      </c>
      <c r="B110" s="16" t="s">
        <v>297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296</v>
      </c>
      <c r="B111" s="16" t="s">
        <v>297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299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300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300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300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300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301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301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301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302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302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302</v>
      </c>
      <c r="B122" s="16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550</v>
      </c>
      <c r="I122" s="17">
        <f t="shared" si="20"/>
        <v>50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303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304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305</v>
      </c>
      <c r="B126" s="18" t="s">
        <v>307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306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306</v>
      </c>
      <c r="B128" s="16" t="s">
        <v>308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8"/>
      <c r="K128" s="20" t="str">
        <f>CONCATENATE(Table2[[#This Row],[Specs]],Table2[[#This Row],[Width]],Table2[[#This Row],[Slitting]])</f>
        <v>TWF55P16U5W210</v>
      </c>
    </row>
    <row r="129" spans="1:13">
      <c r="A129" s="15" t="s">
        <v>309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3">
      <c r="A130" s="15" t="s">
        <v>310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8"/>
      <c r="K130" s="20" t="str">
        <f>CONCATENATE(Table2[[#This Row],[Specs]],Table2[[#This Row],[Width]],Table2[[#This Row],[Slitting]])</f>
        <v>y ユポ80 MDN 8GB155i 一本刃</v>
      </c>
      <c r="M130" s="9" t="s">
        <v>311</v>
      </c>
    </row>
    <row r="131" spans="1:13">
      <c r="A131" s="15" t="s">
        <v>312</v>
      </c>
      <c r="B131" s="16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/>
      <c r="I131" s="17">
        <f t="shared" si="22"/>
        <v>600</v>
      </c>
      <c r="J131" s="18"/>
      <c r="K131" s="20" t="str">
        <f>CONCATENATE(Table2[[#This Row],[Specs]],Table2[[#This Row],[Width]],Table2[[#This Row],[Slitting]])</f>
        <v>y ユポ80 MDN 8GB165</v>
      </c>
    </row>
    <row r="132" spans="1:13">
      <c r="A132" s="15" t="s">
        <v>312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/>
      <c r="I132" s="17">
        <f t="shared" si="22"/>
        <v>600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3">
      <c r="A133" s="15"/>
      <c r="B133" s="16"/>
      <c r="C133" s="17"/>
      <c r="D133" s="17"/>
      <c r="E133" s="17"/>
      <c r="F133" s="17"/>
      <c r="G133" s="17">
        <f t="shared" si="21"/>
        <v>0</v>
      </c>
      <c r="H133" s="17"/>
      <c r="I133" s="17">
        <f t="shared" si="22"/>
        <v>0</v>
      </c>
      <c r="J133" s="18"/>
      <c r="K13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288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48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295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273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49" t="s">
        <v>282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282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282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47" t="s">
        <v>298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61" t="s">
        <v>314</v>
      </c>
      <c r="B1" s="61" t="s">
        <v>315</v>
      </c>
      <c r="C1" s="61" t="s">
        <v>317</v>
      </c>
    </row>
    <row r="2" spans="1:3">
      <c r="A2" s="60">
        <v>44189</v>
      </c>
      <c r="B2" t="s">
        <v>316</v>
      </c>
      <c r="C2" t="s">
        <v>318</v>
      </c>
    </row>
    <row r="3" spans="1:3">
      <c r="A3" s="60">
        <v>44190</v>
      </c>
      <c r="B3" t="s">
        <v>316</v>
      </c>
      <c r="C3" t="s">
        <v>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tabSelected="1" zoomScaleNormal="100" workbookViewId="0">
      <selection activeCell="B8" sqref="B8"/>
    </sheetView>
  </sheetViews>
  <sheetFormatPr baseColWidth="10" defaultColWidth="8.69921875" defaultRowHeight="22"/>
  <cols>
    <col min="1" max="1" width="10.8984375" style="37" bestFit="1" customWidth="1"/>
    <col min="2" max="2" width="53" style="36" customWidth="1"/>
    <col min="3" max="16384" width="8.69921875" style="34"/>
  </cols>
  <sheetData>
    <row r="1" spans="1:2" ht="26" thickBot="1">
      <c r="A1" s="58" t="s">
        <v>233</v>
      </c>
      <c r="B1" s="59"/>
    </row>
    <row r="2" spans="1:2" ht="23">
      <c r="A2" s="35">
        <v>44061</v>
      </c>
      <c r="B2" s="39" t="s">
        <v>232</v>
      </c>
    </row>
    <row r="3" spans="1:2" ht="23">
      <c r="A3" s="35">
        <v>44062</v>
      </c>
      <c r="B3" s="38" t="s">
        <v>249</v>
      </c>
    </row>
    <row r="4" spans="1:2" ht="23">
      <c r="A4" s="35">
        <v>44063</v>
      </c>
      <c r="B4" s="38" t="s">
        <v>234</v>
      </c>
    </row>
    <row r="5" spans="1:2" ht="23">
      <c r="A5" s="35">
        <v>44064</v>
      </c>
      <c r="B5" s="38" t="s">
        <v>266</v>
      </c>
    </row>
    <row r="6" spans="1:2" ht="23">
      <c r="B6" s="38" t="s">
        <v>271</v>
      </c>
    </row>
    <row r="7" spans="1:2" ht="46">
      <c r="A7" s="37" t="s">
        <v>313</v>
      </c>
      <c r="B7" s="36" t="s">
        <v>320</v>
      </c>
    </row>
  </sheetData>
  <mergeCells count="1">
    <mergeCell ref="A1:B1"/>
  </mergeCells>
  <phoneticPr fontId="15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2020-12-23T23:40:14Z</dcterms:modified>
</cp:coreProperties>
</file>