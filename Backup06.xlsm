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CC46FA58-A3FF-4245-83C7-072AFBFB2D06}" xr6:coauthVersionLast="45" xr6:coauthVersionMax="45" xr10:uidLastSave="{00000000-0000-0000-0000-000000000000}"/>
  <bookViews>
    <workbookView xWindow="0" yWindow="500" windowWidth="34220" windowHeight="23520" activeTab="1" xr2:uid="{00000000-000D-0000-FFFF-FFFF00000000}"/>
  </bookViews>
  <sheets>
    <sheet name="Sheet2" sheetId="270" r:id="rId1"/>
    <sheet name="PaperSummary" sheetId="276" r:id="rId2"/>
    <sheet name="Paper" sheetId="2" r:id="rId3"/>
    <sheet name="INK" sheetId="3" r:id="rId4"/>
    <sheet name="Others" sheetId="265" r:id="rId5"/>
    <sheet name="Change Log" sheetId="109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3" hidden="1">INK!$A$5:$G$239</definedName>
    <definedName name="_xlnm._FilterDatabase" localSheetId="2" hidden="1">Paper!$A$5:$J$134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0" r:id="rId9"/>
  </pivotCaches>
</workbook>
</file>

<file path=xl/calcChain.xml><?xml version="1.0" encoding="utf-8"?>
<calcChain xmlns="http://schemas.openxmlformats.org/spreadsheetml/2006/main">
  <c r="G134" i="2" l="1"/>
  <c r="I134" i="2" s="1"/>
  <c r="K134" i="2"/>
  <c r="I3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<sst xmlns="http://schemas.openxmlformats.org/spreadsheetml/2006/main" count="939" uniqueCount="322">
  <si>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</si>
  <si>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</si>
  <si>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</si>
  <si>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</si>
  <si>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</si>
  <si>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</si>
  <si>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</si>
  <si>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</si>
  <si>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</si>
  <si>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</si>
  <si>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</si>
  <si>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</si>
  <si>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</si>
  <si>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</si>
  <si>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</si>
  <si>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</si>
  <si>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</si>
  <si>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</si>
  <si>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</si>
  <si>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</si>
  <si>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</si>
  <si>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</si>
  <si>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</si>
  <si>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</si>
  <si>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</si>
  <si>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</si>
  <si>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</si>
  <si>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</si>
  <si>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</si>
  <si>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</si>
  <si>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</si>
  <si>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</si>
  <si>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</si>
  <si>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</si>
  <si>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</si>
  <si>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</si>
  <si>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</si>
  <si>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</si>
  <si>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</si>
  <si>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</si>
  <si>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</si>
  <si>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</si>
  <si>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</si>
  <si>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</si>
  <si>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</si>
  <si>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</si>
  <si>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</si>
  <si>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</si>
  <si>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</si>
  <si>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</si>
  <si>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</si>
  <si>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</si>
  <si>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</si>
  <si>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</si>
  <si>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</si>
  <si>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</si>
  <si>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</si>
  <si>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</si>
  <si>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</si>
  <si>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</si>
  <si>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</si>
  <si>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</si>
  <si>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</si>
  <si>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</si>
  <si>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</si>
  <si>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</si>
  <si>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</si>
  <si>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</si>
  <si>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</si>
  <si>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</si>
  <si>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</si>
  <si>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</si>
  <si>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</si>
  <si>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</si>
  <si>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</si>
  <si>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</si>
  <si>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</si>
  <si>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</si>
  <si>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</si>
  <si>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</si>
  <si>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</si>
  <si>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</si>
  <si>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</si>
  <si>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</si>
  <si>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</si>
  <si>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</si>
  <si>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</si>
  <si>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</si>
  <si>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</si>
  <si>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</si>
  <si>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</si>
  <si>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</si>
  <si>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</si>
  <si>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</si>
  <si>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</si>
  <si>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</si>
  <si>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</si>
  <si>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</si>
  <si>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</si>
  <si>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</si>
  <si>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</si>
  <si>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</si>
  <si>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</si>
  <si>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</si>
  <si>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</si>
  <si>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</si>
  <si>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</si>
  <si>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</si>
  <si>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</si>
  <si>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</si>
  <si>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</si>
  <si>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</si>
  <si>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</si>
  <si>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</si>
  <si>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</si>
  <si>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</si>
  <si>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</si>
  <si>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</si>
  <si>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</si>
  <si>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</si>
  <si>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</si>
  <si>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</si>
  <si>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</si>
  <si>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</si>
  <si>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</si>
  <si>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</si>
  <si>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</si>
  <si>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</si>
  <si>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</si>
  <si>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</si>
  <si>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</si>
  <si>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</si>
  <si>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</si>
  <si>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</si>
  <si>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</si>
  <si>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</si>
  <si>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</si>
  <si>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</si>
  <si>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</si>
  <si>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</si>
  <si>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</si>
  <si>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</si>
  <si>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</si>
  <si>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</si>
  <si>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</si>
  <si>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</si>
  <si>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</si>
  <si>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</si>
  <si>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</si>
  <si>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</si>
  <si>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</si>
  <si>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</si>
  <si>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</si>
  <si>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</si>
  <si>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</si>
  <si>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</si>
  <si>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</si>
  <si>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</si>
  <si>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</si>
  <si>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</si>
  <si>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</si>
  <si>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</si>
  <si>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</si>
  <si>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</si>
  <si>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</si>
  <si>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</si>
  <si>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</si>
  <si>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</si>
  <si>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</si>
  <si>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</si>
  <si>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</si>
  <si>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</si>
  <si>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</si>
  <si>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</si>
  <si>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</si>
  <si>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</si>
  <si>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</si>
  <si>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</si>
  <si>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</si>
  <si>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</si>
  <si>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</si>
  <si>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</si>
  <si>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</si>
  <si>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</si>
  <si>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</si>
  <si>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</si>
  <si>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</si>
  <si>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</si>
  <si>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</si>
  <si>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</si>
  <si>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</si>
  <si>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</si>
  <si>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</si>
  <si>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</si>
  <si>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</si>
  <si>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</si>
  <si>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</si>
  <si>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</si>
  <si>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</si>
  <si>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</si>
  <si>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</si>
  <si>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</si>
  <si>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</si>
  <si>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</si>
  <si>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</si>
  <si>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</si>
  <si>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</si>
  <si>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</si>
  <si>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</si>
  <si>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</si>
  <si>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</si>
  <si>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</si>
  <si>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</si>
  <si>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</si>
  <si>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</si>
  <si>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</si>
  <si>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</si>
  <si>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</si>
  <si>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</si>
  <si>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</si>
  <si>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</si>
  <si>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</si>
  <si>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</si>
  <si>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</si>
  <si>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</si>
  <si>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</si>
  <si>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</si>
  <si>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</si>
  <si>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</si>
  <si>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</si>
  <si>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</si>
  <si>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</si>
  <si>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</si>
  <si>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</si>
  <si>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</si>
  <si>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</si>
  <si>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</si>
  <si>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</si>
  <si>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</si>
  <si>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</si>
  <si>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</si>
  <si>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</si>
  <si>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</si>
  <si>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</si>
  <si>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</si>
  <si>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</si>
  <si>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</si>
  <si>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</si>
  <si>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</si>
  <si>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</si>
  <si>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</si>
  <si>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</si>
  <si>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</si>
  <si>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</si>
  <si>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</si>
  <si>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</si>
  <si>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</si>
  <si>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</si>
  <si>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</si>
  <si>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</si>
  <si>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</si>
  <si>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</si>
  <si>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</si>
  <si>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</si>
  <si>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</si>
  <si>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</si>
  <si>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</si>
  <si>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</si>
  <si>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</si>
  <si>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</si>
  <si>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</si>
  <si>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</si>
  <si>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</si>
  <si>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</si>
  <si>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</si>
  <si>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</si>
  <si>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</si>
  <si>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</si>
  <si>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</si>
  <si>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</si>
  <si>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</si>
  <si>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</si>
  <si>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</si>
  <si>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</si>
  <si>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</si>
  <si>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</si>
  <si>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</si>
  <si>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</si>
  <si>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</si>
  <si>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</si>
  <si>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</si>
  <si>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</si>
  <si>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</si>
  <si>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</si>
  <si>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</si>
  <si>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</si>
  <si>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</si>
  <si>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</si>
  <si>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</si>
  <si>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</si>
  <si>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</si>
  <si>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</si>
  <si>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</si>
  <si>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</si>
  <si>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</si>
  <si>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</si>
  <si>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</si>
  <si>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</si>
  <si>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</si>
  <si>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</si>
  <si>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</si>
  <si>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</si>
  <si>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</si>
  <si>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</si>
  <si>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</si>
  <si>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</si>
  <si>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</si>
  <si>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</si>
  <si>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</si>
  <si>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</si>
  <si>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y ユポ80 MDN 8GB155i 一本刃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</si>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</sst>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3" fillId="5" borderId="0" xfId="0" applyFont="1" applyFill="1" applyAlignment="1">
      <alignment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6" fillId="0" borderId="15" xfId="0" applyNumberFormat="1" applyFont="1" applyBorder="1" applyAlignment="1">
      <alignment vertical="center"/>
    </xf>
    <xf numFmtId="0" fontId="17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640934</xdr:colOff>
          <xdr:row>1</xdr:row>
          <xdr:rowOff>122846</xdr:rowOff>
        </xdr:from>
        <xdr:to>
          <xdr:col>7</xdr:col>
          <xdr:colOff>480345</xdr:colOff>
          <xdr:row>2</xdr:row>
          <xdr:rowOff>156792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146466</xdr:colOff>
          <xdr:row>1</xdr:row>
          <xdr:rowOff>178037</xdr:rowOff>
        </xdr:from>
        <xdr:to>
          <xdr:col>4</xdr:col>
          <xdr:colOff>391683</xdr:colOff>
          <xdr:row>2</xdr:row>
          <xdr:rowOff>202606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3A60804A-1D12-964A-B639-26B42E6F6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1.338184953704" createdVersion="3" refreshedVersion="6" minRefreshableVersion="3" recordCount="128" xr:uid="{A9A5ACC7-CE67-C446-B491-0E99D23DECF4}">
  <cacheSource type="worksheet">
    <worksheetSource ref="A5:K133" sheet="Paper"/>
  </cacheSource>
  <cacheFields count="11">
    <cacheField name="Arrival" numFmtId="49">
      <sharedItems containsBlank="1" count="5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m/>
      </sharedItems>
    </cacheField>
    <cacheField name="Specs" numFmtId="0">
      <sharedItems containsBlank="1"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m/>
      </sharedItems>
    </cacheField>
    <cacheField name="Width" numFmtId="0">
      <sharedItems containsString="0" containsBlank="1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m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tring="0" containsBlank="1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m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emiMixedTypes="0" containsString="0" containsNumber="1" containsInteger="1" minValue="0" maxValue="1200" count="12">
        <n v="600"/>
        <n v="1200"/>
        <n v="300"/>
        <n v="200"/>
        <n v="100"/>
        <n v="60"/>
        <n v="400"/>
        <n v="80"/>
        <n v="500"/>
        <n v="350"/>
        <n v="1000"/>
        <n v="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100"/>
        <n v="250"/>
        <n v="80"/>
        <n v="550"/>
        <n v="10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  <r>
    <x v="50"/>
    <x v="14"/>
    <x v="19"/>
    <x v="1"/>
    <x v="10"/>
    <x v="2"/>
    <x v="11"/>
    <x v="1"/>
    <x v="0"/>
    <x v="0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D6378-A244-2446-8F05-CC3F7D999115}" name="PaperPivotTable" cacheId="4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51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  <item x="50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  <item x="14"/>
      </items>
    </pivotField>
    <pivotField axis="axisCol" showAll="0" defaultSubtotal="0">
      <items count="20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  <item x="19"/>
      </items>
    </pivotField>
    <pivotField axis="axisCol" showAll="0" defaultSubtotal="0">
      <items count="2">
        <item x="0"/>
        <item n=" " x="1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0"/>
        <item x="9"/>
        <item x="10"/>
      </items>
    </pivotField>
    <pivotField showAll="0" defaultSubtotal="0">
      <items count="3">
        <item x="0"/>
        <item x="1"/>
        <item x="2"/>
      </items>
    </pivotField>
    <pivotField showAll="0" defaultSubtotal="0">
      <items count="12">
        <item x="11"/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6"/>
        <item x="14"/>
        <item x="5"/>
        <item x="13"/>
        <item x="15"/>
        <item x="7"/>
        <item x="11"/>
        <item x="2"/>
        <item x="8"/>
        <item x="3"/>
        <item x="17"/>
        <item x="4"/>
        <item x="9"/>
        <item x="10"/>
        <item x="0"/>
        <item x="18"/>
        <item x="1"/>
      </items>
    </pivotField>
    <pivotField dataField="1" showAll="0" defaultSubtotal="0">
      <items count="19">
        <item x="0"/>
        <item x="12"/>
        <item x="7"/>
        <item x="6"/>
        <item x="18"/>
        <item x="10"/>
        <item x="13"/>
        <item x="4"/>
        <item x="9"/>
        <item x="8"/>
        <item x="3"/>
        <item x="14"/>
        <item x="5"/>
        <item x="16"/>
        <item x="11"/>
        <item x="15"/>
        <item x="17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35"/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F5ACE7-F2BC-3F4D-BB7E-320B64BF62C9}" name="Table3" displayName="Table3" ref="A1:K4" totalsRowShown="0">
  <autoFilter ref="A1:K4" xr:uid="{F6C809E0-A8F3-0D4A-BC24-E1F44FABEB17}"/>
  <tableColumns count="11">
    <tableColumn id="1" xr3:uid="{6D711629-7BEA-2144-9CDB-385258D456E5}" name="Arrival"/>
    <tableColumn id="2" xr3:uid="{C34FD9E4-65B3-9F49-8355-DCE9900E68AA}" name="Specs"/>
    <tableColumn id="3" xr3:uid="{AB38AD59-D9C4-BC4D-AB30-5A66D8B22F71}" name="Width"/>
    <tableColumn id="4" xr3:uid="{9C680532-77A4-3D49-9D0E-EA7749E597A7}" name="Slitting"/>
    <tableColumn id="5" xr3:uid="{0F196801-3D82-014D-BEE9-BB1D264A5D34}" name="Length"/>
    <tableColumn id="6" xr3:uid="{90DCD49F-9DA4-BC43-8743-50A77EE9B62A}" name="Roll"/>
    <tableColumn id="7" xr3:uid="{9653FC81-F4CA-AE42-93AC-186C25AACFC1}" name="Total"/>
    <tableColumn id="8" xr3:uid="{BDAF4F6A-8948-C84E-8617-83CD795B6ABC}" name="Used"/>
    <tableColumn id="9" xr3:uid="{67F9B566-D8EC-DB45-8596-88A8C4407B21}" name="Remaining"/>
    <tableColumn id="10" xr3:uid="{A740A2D7-2B59-0A43-B6B3-A8665DE1B3DB}" name="Lining"/>
    <tableColumn id="11" xr3:uid="{384622CB-B236-A448-92D8-05B326A4B3E2}" name="Inde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4" headerRowDxfId="39" dataDxfId="38" totalsRowDxfId="37">
  <autoFilter ref="A5:K13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D0EE-6F5C-0447-B7D4-A99B677E0A2D}">
  <dimension ref="A1:K4"/>
  <sheetViews>
    <sheetView workbookViewId="0">
      <selection sqref="A1:K4"/>
    </sheetView>
  </sheetViews>
  <sheetFormatPr baseColWidth="10" defaultRowHeight="22"/>
  <cols>
    <col min="9" max="9" width="11.09765625" customWidth="1"/>
  </cols>
  <sheetData>
    <row r="1" spans="1:11">
      <c r="A1" t="s">
        <v>251</v>
      </c>
      <c r="B1" t="s">
        <v>0</v>
      </c>
      <c r="C1" t="s">
        <v>197</v>
      </c>
      <c r="D1" t="s">
        <v>256</v>
      </c>
      <c r="E1" t="s">
        <v>198</v>
      </c>
      <c r="F1" t="s">
        <v>199</v>
      </c>
      <c r="G1" t="s">
        <v>200</v>
      </c>
      <c r="H1" t="s">
        <v>1</v>
      </c>
      <c r="I1" t="s">
        <v>2</v>
      </c>
      <c r="J1" t="s">
        <v>252</v>
      </c>
      <c r="K1" t="s">
        <v>202</v>
      </c>
    </row>
    <row r="2" spans="1:11">
      <c r="A2" t="s">
        <v>310</v>
      </c>
      <c r="B2" t="s">
        <v>253</v>
      </c>
      <c r="C2">
        <v>155</v>
      </c>
      <c r="D2" t="s">
        <v>267</v>
      </c>
      <c r="E2">
        <v>600</v>
      </c>
      <c r="F2">
        <v>1</v>
      </c>
      <c r="G2">
        <v>600</v>
      </c>
      <c r="I2">
        <v>600</v>
      </c>
      <c r="K2" t="s">
        <v>320</v>
      </c>
    </row>
    <row r="3" spans="1:11">
      <c r="A3" t="s">
        <v>196</v>
      </c>
      <c r="B3" t="s">
        <v>253</v>
      </c>
      <c r="C3">
        <v>155</v>
      </c>
      <c r="D3" t="s">
        <v>267</v>
      </c>
      <c r="E3">
        <v>600</v>
      </c>
      <c r="F3">
        <v>1</v>
      </c>
      <c r="G3">
        <v>600</v>
      </c>
      <c r="H3">
        <v>600</v>
      </c>
      <c r="I3">
        <v>0</v>
      </c>
      <c r="J3" t="s">
        <v>214</v>
      </c>
      <c r="K3" t="s">
        <v>320</v>
      </c>
    </row>
    <row r="4" spans="1:11">
      <c r="A4" t="s">
        <v>9</v>
      </c>
      <c r="B4" t="s">
        <v>253</v>
      </c>
      <c r="C4">
        <v>155</v>
      </c>
      <c r="D4" t="s">
        <v>267</v>
      </c>
      <c r="E4">
        <v>600</v>
      </c>
      <c r="F4">
        <v>1</v>
      </c>
      <c r="G4">
        <v>600</v>
      </c>
      <c r="I4">
        <v>600</v>
      </c>
      <c r="K4" t="s">
        <v>320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6FAE-A0CF-894A-A8D0-6AC1E182427E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1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5976562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9.59765625" bestFit="1" customWidth="1"/>
    <col min="46" max="46" width="13.8984375" bestFit="1" customWidth="1"/>
    <col min="47" max="47" width="11.8984375" bestFit="1" customWidth="1"/>
  </cols>
  <sheetData>
    <row r="1" spans="2:26" ht="7.5" customHeight="1"/>
    <row r="2" spans="2:26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2:26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210</v>
      </c>
      <c r="X3" s="52">
        <v>215</v>
      </c>
      <c r="Y3" s="52">
        <v>220</v>
      </c>
      <c r="Z3" s="52" t="s">
        <v>321</v>
      </c>
    </row>
    <row r="4" spans="2:26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  <c r="Y4" s="52" t="s">
        <v>257</v>
      </c>
      <c r="Z4" s="52" t="s">
        <v>257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307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  <c r="Z12" s="6"/>
    </row>
    <row r="13" spans="2:26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293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  <c r="Z16" s="6"/>
    </row>
    <row r="17" spans="2:26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0</v>
      </c>
      <c r="J17" s="6"/>
      <c r="K17" s="6"/>
      <c r="L17" s="6">
        <v>300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  <c r="Z17" s="6"/>
    </row>
    <row r="18" spans="2:26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>
      <c r="B19" s="5" t="s">
        <v>321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>
        <v>0</v>
      </c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4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0" t="s">
        <v>254</v>
      </c>
      <c r="I2" s="58" t="s">
        <v>235</v>
      </c>
      <c r="J2" s="59"/>
      <c r="M2" s="29"/>
      <c r="N2" s="29"/>
      <c r="O2" s="29"/>
      <c r="P2" s="29"/>
    </row>
    <row r="3" spans="1:19" ht="23" thickBot="1">
      <c r="I3" s="56">
        <f>LastSavedTimeStamp()</f>
        <v>44201.33803240741</v>
      </c>
      <c r="J3" s="57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>F20*E20</f>
        <v>600</v>
      </c>
      <c r="H20" s="18">
        <v>400</v>
      </c>
      <c r="I20" s="17">
        <f t="shared" si="1"/>
        <v>200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5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6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274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275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277</v>
      </c>
      <c r="B81" s="19" t="s">
        <v>278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277</v>
      </c>
      <c r="B82" s="19" t="s">
        <v>278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1" t="s">
        <v>276</v>
      </c>
      <c r="B83" s="44" t="s">
        <v>253</v>
      </c>
      <c r="C83" s="42">
        <v>165</v>
      </c>
      <c r="D83" s="42"/>
      <c r="E83" s="42">
        <v>600</v>
      </c>
      <c r="F83" s="42">
        <v>1</v>
      </c>
      <c r="G83" s="17">
        <f t="shared" si="7"/>
        <v>600</v>
      </c>
      <c r="H83" s="42">
        <v>600</v>
      </c>
      <c r="I83" s="17">
        <f t="shared" si="8"/>
        <v>0</v>
      </c>
      <c r="J83" s="43"/>
      <c r="K83" s="20" t="str">
        <f>CONCATENATE(Table2[[#This Row],[Specs]],Table2[[#This Row],[Width]],Table2[[#This Row],[Slitting]])</f>
        <v>y ユポ80 MDN 8GB165</v>
      </c>
    </row>
    <row r="84" spans="1:11">
      <c r="A84" s="41" t="s">
        <v>276</v>
      </c>
      <c r="B84" s="44" t="s">
        <v>253</v>
      </c>
      <c r="C84" s="42">
        <v>140</v>
      </c>
      <c r="D84" s="42"/>
      <c r="E84" s="42">
        <v>600</v>
      </c>
      <c r="F84" s="42">
        <v>1</v>
      </c>
      <c r="G84" s="17">
        <f t="shared" si="7"/>
        <v>600</v>
      </c>
      <c r="H84" s="42">
        <v>600</v>
      </c>
      <c r="I84" s="17">
        <f t="shared" si="8"/>
        <v>0</v>
      </c>
      <c r="J84" s="43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279</v>
      </c>
      <c r="B85" s="19" t="s">
        <v>280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281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283</v>
      </c>
      <c r="B87" s="19" t="s">
        <v>284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283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285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286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287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287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286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289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289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289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289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289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289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290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290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291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291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292</v>
      </c>
      <c r="B105" s="16" t="s">
        <v>293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294</v>
      </c>
      <c r="B106" s="16" t="s">
        <v>293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294</v>
      </c>
      <c r="B107" s="16" t="s">
        <v>293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294</v>
      </c>
      <c r="B108" s="16" t="s">
        <v>293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294</v>
      </c>
      <c r="B109" s="16" t="s">
        <v>293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296</v>
      </c>
      <c r="B110" s="16" t="s">
        <v>297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296</v>
      </c>
      <c r="B111" s="16" t="s">
        <v>297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299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300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300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300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300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301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301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301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302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302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302</v>
      </c>
      <c r="B122" s="19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303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304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305</v>
      </c>
      <c r="B126" s="18" t="s">
        <v>307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306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306</v>
      </c>
      <c r="B128" s="16" t="s">
        <v>308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309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 t="s">
        <v>310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8"/>
      <c r="K130" s="20" t="str">
        <f>CONCATENATE(Table2[[#This Row],[Specs]],Table2[[#This Row],[Width]],Table2[[#This Row],[Slitting]])</f>
        <v>y ユポ80 MDN 8GB155i 一本刃</v>
      </c>
    </row>
    <row r="131" spans="1:11">
      <c r="A131" s="15" t="s">
        <v>311</v>
      </c>
      <c r="B131" s="16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/>
      <c r="I131" s="17">
        <f t="shared" si="22"/>
        <v>600</v>
      </c>
      <c r="J131" s="18"/>
      <c r="K131" s="20" t="str">
        <f>CONCATENATE(Table2[[#This Row],[Specs]],Table2[[#This Row],[Width]],Table2[[#This Row],[Slitting]])</f>
        <v>y ユポ80 MDN 8GB165</v>
      </c>
    </row>
    <row r="132" spans="1:11">
      <c r="A132" s="15" t="s">
        <v>311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/>
      <c r="I132" s="17">
        <f t="shared" si="22"/>
        <v>600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1">
      <c r="A133" s="15"/>
      <c r="B133" s="16"/>
      <c r="C133" s="17"/>
      <c r="D133" s="17"/>
      <c r="E133" s="17"/>
      <c r="F133" s="17"/>
      <c r="G133" s="17">
        <f t="shared" si="21"/>
        <v>0</v>
      </c>
      <c r="H133" s="17"/>
      <c r="I133" s="17">
        <f t="shared" si="22"/>
        <v>0</v>
      </c>
      <c r="J133" s="18"/>
      <c r="K133" s="20" t="str">
        <f>CONCATENATE(Table2[[#This Row],[Specs]],Table2[[#This Row],[Width]],Table2[[#This Row],[Slitting]])</f>
        <v/>
      </c>
    </row>
    <row r="134" spans="1:11">
      <c r="A134" s="15"/>
      <c r="B134" s="16"/>
      <c r="C134" s="17"/>
      <c r="D134" s="17"/>
      <c r="E134" s="17"/>
      <c r="F134" s="17"/>
      <c r="G134" s="17">
        <f>F134*E134</f>
        <v>0</v>
      </c>
      <c r="H134" s="17"/>
      <c r="I134" s="17">
        <f>G134-H134</f>
        <v>0</v>
      </c>
      <c r="J134" s="18"/>
      <c r="K13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44201.337233796294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288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48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295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273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49" t="s">
        <v>282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282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282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47" t="s">
        <v>298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51" t="s">
        <v>313</v>
      </c>
      <c r="B1" s="51" t="s">
        <v>314</v>
      </c>
      <c r="C1" s="51" t="s">
        <v>316</v>
      </c>
    </row>
    <row r="2" spans="1:3">
      <c r="A2" s="50">
        <v>44189</v>
      </c>
      <c r="B2" t="s">
        <v>315</v>
      </c>
      <c r="C2" t="s">
        <v>317</v>
      </c>
    </row>
    <row r="3" spans="1:3">
      <c r="A3" s="50">
        <v>44190</v>
      </c>
      <c r="B3" t="s">
        <v>315</v>
      </c>
      <c r="C3" t="s">
        <v>318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7" bestFit="1" customWidth="1"/>
    <col min="2" max="2" width="53" style="36" customWidth="1"/>
    <col min="3" max="16384" width="8.69921875" style="34"/>
  </cols>
  <sheetData>
    <row r="1" spans="1:2" ht="26" thickBot="1">
      <c r="A1" s="60" t="s">
        <v>233</v>
      </c>
      <c r="B1" s="61"/>
    </row>
    <row r="2" spans="1:2" ht="23">
      <c r="A2" s="35">
        <v>44061</v>
      </c>
      <c r="B2" s="39" t="s">
        <v>232</v>
      </c>
    </row>
    <row r="3" spans="1:2" ht="23">
      <c r="A3" s="35">
        <v>44062</v>
      </c>
      <c r="B3" s="38" t="s">
        <v>249</v>
      </c>
    </row>
    <row r="4" spans="1:2" ht="23">
      <c r="A4" s="35">
        <v>44063</v>
      </c>
      <c r="B4" s="38" t="s">
        <v>234</v>
      </c>
    </row>
    <row r="5" spans="1:2" ht="23">
      <c r="A5" s="35">
        <v>44064</v>
      </c>
      <c r="B5" s="38" t="s">
        <v>266</v>
      </c>
    </row>
    <row r="6" spans="1:2" ht="23">
      <c r="B6" s="38" t="s">
        <v>271</v>
      </c>
    </row>
    <row r="7" spans="1:2" ht="46">
      <c r="A7" s="37" t="s">
        <v>312</v>
      </c>
      <c r="B7" s="36" t="s">
        <v>319</v>
      </c>
    </row>
  </sheetData>
  <mergeCells count="1">
    <mergeCell ref="A1:B1"/>
  </mergeCells>
  <phoneticPr fontId="1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Sheet2</vt:lpstr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2021-01-04T23:07:00Z</dcterms:modified>
</cp:coreProperties>
</file>