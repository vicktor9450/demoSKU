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738D44BE-F184-DE4C-B7D3-B8F710EEAD4B}" xr6:coauthVersionLast="45" xr6:coauthVersionMax="45" xr10:uidLastSave="{00000000-0000-0000-0000-000000000000}"/>
  <bookViews>
    <workbookView xWindow="0" yWindow="460" windowWidth="25600" windowHeight="12340" xr2:uid="{00000000-000D-0000-FFFF-FFFF00000000}"/>
  </bookViews>
  <sheets>
    <sheet name="PaperSummary" sheetId="254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Paper!$A$5:$J$128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39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F3" i="3"/>
  <c r="I3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<sst xmlns="http://schemas.openxmlformats.org/spreadsheetml/2006/main" count="890" uniqueCount="311">
  <si>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</si>
  <si>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</si>
  <si>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</si>
  <si>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</si>
  <si>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</si>
  <si>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</si>
  <si>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</si>
  <si>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</si>
  <si>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</si>
  <si>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</si>
  <si>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</si>
  <si>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</si>
  <si>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</si>
  <si>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</si>
  <si>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</si>
  <si>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</si>
  <si>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</si>
  <si>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</si>
  <si>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</si>
  <si>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</si>
  <si>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</si>
  <si>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</si>
  <si>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</si>
  <si>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</si>
  <si>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</si>
  <si>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</si>
  <si>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</si>
  <si>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</si>
  <si>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</si>
  <si>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</si>
  <si>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</si>
  <si>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</si>
  <si>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</si>
  <si>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</si>
  <si>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</si>
  <si>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</si>
  <si>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</si>
  <si>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</si>
  <si>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</si>
  <si>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</si>
  <si>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</si>
  <si>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</si>
  <si>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</si>
  <si>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</si>
  <si>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</si>
  <si>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</si>
  <si>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</si>
  <si>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</si>
  <si>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</si>
  <si>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</si>
  <si>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</si>
  <si>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</si>
  <si>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</si>
  <si>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</si>
  <si>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</si>
  <si>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</si>
  <si>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</si>
  <si>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</si>
  <si>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</si>
  <si>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</si>
  <si>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</si>
  <si>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</si>
  <si>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</si>
  <si>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</si>
  <si>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</si>
  <si>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</si>
  <si>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</si>
  <si>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</si>
  <si>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</si>
  <si>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</si>
  <si>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</si>
  <si>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</si>
  <si>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</si>
  <si>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</si>
  <si>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</si>
  <si>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</si>
  <si>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</si>
  <si>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</si>
  <si>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</si>
  <si>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</si>
  <si>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</si>
  <si>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</si>
  <si>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</si>
  <si>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</si>
  <si>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</si>
  <si>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</si>
  <si>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</si>
  <si>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</si>
  <si>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</si>
  <si>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</si>
  <si>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</si>
  <si>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</si>
  <si>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</si>
  <si>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</si>
  <si>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</si>
  <si>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</si>
  <si>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</si>
  <si>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</si>
  <si>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</si>
  <si>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</si>
  <si>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</si>
  <si>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</si>
  <si>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</si>
  <si>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</si>
  <si>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</si>
  <si>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</si>
  <si>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</si>
  <si>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</si>
  <si>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</si>
  <si>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</si>
  <si>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</si>
  <si>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</si>
  <si>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</si>
  <si>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</si>
  <si>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</si>
  <si>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</si>
  <si>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</si>
  <si>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</si>
  <si>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</si>
  <si>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</si>
  <si>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</si>
  <si>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</si>
  <si>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</si>
  <si>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</si>
  <si>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</si>
  <si>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</si>
  <si>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</si>
  <si>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</si>
  <si>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</si>
  <si>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</si>
  <si>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</si>
  <si>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</si>
  <si>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</si>
  <si>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</si>
  <si>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</si>
  <si>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</si>
  <si>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</si>
  <si>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</si>
  <si>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</si>
  <si>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</si>
  <si>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</si>
  <si>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</si>
  <si>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</si>
  <si>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</si>
  <si>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</si>
  <si>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</si>
  <si>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</si>
  <si>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</si>
  <si>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</si>
  <si>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</si>
  <si>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</si>
  <si>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</si>
  <si>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</si>
  <si>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</si>
  <si>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</si>
  <si>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</si>
  <si>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</si>
  <si>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</si>
  <si>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</si>
  <si>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</si>
  <si>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</si>
  <si>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</si>
  <si>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</si>
  <si>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</si>
  <si>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</si>
  <si>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</si>
  <si>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</si>
  <si>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</si>
  <si>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</si>
  <si>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</si>
  <si>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</si>
  <si>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</si>
  <si>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</si>
  <si>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</si>
  <si>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</si>
  <si>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</si>
  <si>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</si>
  <si>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</si>
  <si>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</si>
  <si>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</si>
  <si>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</si>
  <si>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</si>
  <si>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</si>
  <si>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</si>
  <si>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</si>
  <si>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</si>
  <si>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</si>
  <si>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</si>
  <si>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</si>
  <si>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</si>
  <si>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</si>
  <si>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</si>
  <si>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</si>
  <si>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</si>
  <si>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</si>
  <si>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</si>
  <si>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</si>
  <si>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</si>
  <si>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</si>
  <si>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</si>
  <si>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</si>
  <si>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</si>
  <si>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</si>
  <si>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</si>
  <si>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</si>
  <si>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</si>
  <si>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</si>
  <si>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</si>
  <si>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</si>
  <si>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</si>
  <si>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</si>
  <si>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</si>
  <si>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</si>
  <si>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</si>
  <si>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</si>
  <si>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</si>
  <si>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</si>
  <si>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</si>
  <si>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</si>
  <si>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</si>
  <si>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</si>
  <si>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</si>
  <si>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</si>
  <si>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</si>
  <si>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</si>
  <si>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</si>
  <si>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</si>
  <si>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</si>
  <si>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</si>
  <si>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</si>
  <si>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</si>
  <si>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</si>
  <si>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</si>
  <si>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</si>
  <si>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</si>
  <si>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</si>
  <si>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</si>
  <si>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</si>
  <si>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</si>
  <si>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</si>
  <si>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</si>
  <si>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</si>
  <si>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</si>
  <si>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</si>
  <si>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</si>
  <si>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</si>
  <si>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</si>
  <si>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</si>
  <si>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</si>
  <si>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</si>
  <si>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</si>
  <si>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</si>
  <si>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</si>
  <si>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</si>
  <si>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</si>
  <si>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</si>
  <si>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</si>
  <si>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</si>
  <si>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</si>
  <si>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</si>
  <si>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</si>
  <si>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</si>
  <si>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</si>
  <si>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</si>
  <si>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</si>
  <si>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</si>
  <si>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</si>
  <si>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</si>
  <si>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</si>
  <si>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</si>
  <si>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</si>
  <si>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</si>
  <si>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</si>
  <si>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</si>
  <si>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</si>
  <si>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</si>
  <si>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</si>
  <si>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</si>
  <si>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</si>
  <si>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</si>
  <si>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</si>
  <si>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</si>
  <si>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</si>
  <si>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</si>
  <si>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</si>
  <si>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</si>
  <si>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</si>
  <si>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</si>
  <si>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</si>
  <si>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</si>
  <si>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</si>
  <si>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</si>
  <si>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</si>
  <si>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</si>
  <si>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</si>
  <si>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</si>
  <si>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</si>
  <si>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</si>
  <si>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</si>
  <si>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</si>
  <si>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</si>
  <si>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</si>
  <si>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</si>
  <si>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</si>
  <si>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</si>
  <si>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</si>
  <si>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</si>
  <si>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ピンク</t>
  </si>
  <si>
    <t>12/08/2020</t>
  </si>
  <si>
    <t>140</t>
  </si>
  <si>
    <t>N アート７３ME７GB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</si>
</sst>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5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5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75.667914699072" createdVersion="3" refreshedVersion="6" minRefreshableVersion="3" recordCount="122" xr:uid="{C627336E-765D-6A4F-A1B4-C6DA5BA213BD}">
  <cacheSource type="worksheet">
    <worksheetSource ref="A5:K127" sheet="Paper"/>
  </cacheSource>
  <cacheFields count="11">
    <cacheField name="Arrival" numFmtId="49">
      <sharedItems count="4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</sharedItems>
    </cacheField>
    <cacheField name="Specs" numFmtId="0">
      <sharedItems count="13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8">
        <n v="600"/>
        <m/>
        <n v="400"/>
        <n v="500"/>
        <n v="570"/>
        <n v="180"/>
        <n v="70"/>
        <n v="300"/>
        <n v="480"/>
        <n v="580"/>
        <n v="585"/>
        <n v="380"/>
        <n v="550"/>
        <n v="10"/>
        <n v="200"/>
        <n v="250"/>
        <n v="80"/>
        <n v="35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50"/>
        <n v="290"/>
        <n v="500"/>
        <n v="350"/>
        <n v="520"/>
        <n v="2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4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2"/>
    <x v="14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2"/>
    <x v="14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4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5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3"/>
    <x v="2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2"/>
    <x v="1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3"/>
    <x v="2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3"/>
    <x v="0"/>
    <x v="7"/>
    <x v="1"/>
    <x v="0"/>
    <x v="0"/>
    <x v="0"/>
    <x v="1"/>
    <x v="1"/>
    <x v="0"/>
    <x v="8"/>
  </r>
  <r>
    <x v="43"/>
    <x v="0"/>
    <x v="7"/>
    <x v="1"/>
    <x v="0"/>
    <x v="0"/>
    <x v="0"/>
    <x v="1"/>
    <x v="1"/>
    <x v="0"/>
    <x v="8"/>
  </r>
  <r>
    <x v="44"/>
    <x v="0"/>
    <x v="8"/>
    <x v="1"/>
    <x v="0"/>
    <x v="0"/>
    <x v="0"/>
    <x v="1"/>
    <x v="1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17"/>
    <x v="19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58B70-ADDE-9A44-8246-9BF9C26ED34C}" name="PaperPivotTable" cacheId="39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7" firstHeaderRow="1" firstDataRow="3" firstDataCol="1"/>
  <pivotFields count="11">
    <pivotField showAll="0" defaultSubtotal="0">
      <items count="47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46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3">
        <item x="5"/>
        <item x="1"/>
        <item x="7"/>
        <item x="10"/>
        <item x="4"/>
        <item x="12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8">
        <item x="13"/>
        <item x="6"/>
        <item x="16"/>
        <item x="5"/>
        <item x="14"/>
        <item x="15"/>
        <item x="7"/>
        <item x="17"/>
        <item x="11"/>
        <item x="2"/>
        <item x="8"/>
        <item x="3"/>
        <item x="12"/>
        <item x="4"/>
        <item x="9"/>
        <item x="10"/>
        <item x="0"/>
        <item x="1"/>
      </items>
    </pivotField>
    <pivotField dataField="1" showAll="0" defaultSubtotal="0">
      <items count="20">
        <item x="0"/>
        <item x="12"/>
        <item x="7"/>
        <item x="6"/>
        <item x="14"/>
        <item x="10"/>
        <item x="13"/>
        <item x="2"/>
        <item x="9"/>
        <item x="8"/>
        <item x="5"/>
        <item x="19"/>
        <item x="15"/>
        <item x="4"/>
        <item x="17"/>
        <item x="11"/>
        <item x="16"/>
        <item x="18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4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8" headerRowDxfId="39" dataDxfId="38" totalsRowDxfId="37">
  <autoFilter ref="A5:K128" xr:uid="{00000000-0009-0000-0100-000002000000}">
    <filterColumn colId="10">
      <customFilters>
        <customFilter val="*140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ピンク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376B-DD7A-4C46-9456-8906CA8272F2}">
  <dimension ref="B1:X17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</row>
    <row r="3" spans="2:24">
      <c r="B3" s="56"/>
      <c r="C3" s="55">
        <v>40</v>
      </c>
      <c r="D3" s="55">
        <v>90</v>
      </c>
      <c r="E3" s="55">
        <v>100</v>
      </c>
      <c r="F3" s="55">
        <v>115</v>
      </c>
      <c r="G3" s="55">
        <v>120</v>
      </c>
      <c r="H3" s="57">
        <v>125</v>
      </c>
      <c r="I3" s="58"/>
      <c r="J3" s="55">
        <v>130</v>
      </c>
      <c r="K3" s="55">
        <v>135</v>
      </c>
      <c r="L3" s="55">
        <v>140</v>
      </c>
      <c r="M3" s="55">
        <v>150</v>
      </c>
      <c r="N3" s="57">
        <v>155</v>
      </c>
      <c r="O3" s="58"/>
      <c r="P3" s="55">
        <v>160</v>
      </c>
      <c r="Q3" s="55">
        <v>165</v>
      </c>
      <c r="R3" s="55">
        <v>175</v>
      </c>
      <c r="S3" s="57">
        <v>185</v>
      </c>
      <c r="T3" s="58"/>
      <c r="U3" s="57">
        <v>205</v>
      </c>
      <c r="V3" s="58"/>
      <c r="W3" s="55">
        <v>215</v>
      </c>
      <c r="X3" s="55">
        <v>220</v>
      </c>
    </row>
    <row r="4" spans="2:24">
      <c r="B4" s="7" t="s">
        <v>0</v>
      </c>
      <c r="C4" s="55" t="s">
        <v>257</v>
      </c>
      <c r="D4" s="55" t="s">
        <v>257</v>
      </c>
      <c r="E4" s="55" t="s">
        <v>257</v>
      </c>
      <c r="F4" s="55" t="s">
        <v>257</v>
      </c>
      <c r="G4" s="55" t="s">
        <v>257</v>
      </c>
      <c r="H4" s="55" t="s">
        <v>267</v>
      </c>
      <c r="I4" s="55" t="s">
        <v>257</v>
      </c>
      <c r="J4" s="55" t="s">
        <v>257</v>
      </c>
      <c r="K4" s="55" t="s">
        <v>257</v>
      </c>
      <c r="L4" s="55" t="s">
        <v>257</v>
      </c>
      <c r="M4" s="55" t="s">
        <v>257</v>
      </c>
      <c r="N4" s="55" t="s">
        <v>267</v>
      </c>
      <c r="O4" s="55" t="s">
        <v>257</v>
      </c>
      <c r="P4" s="55" t="s">
        <v>257</v>
      </c>
      <c r="Q4" s="55" t="s">
        <v>257</v>
      </c>
      <c r="R4" s="55" t="s">
        <v>257</v>
      </c>
      <c r="S4" s="55" t="s">
        <v>267</v>
      </c>
      <c r="T4" s="55" t="s">
        <v>257</v>
      </c>
      <c r="U4" s="55" t="s">
        <v>267</v>
      </c>
      <c r="V4" s="55" t="s">
        <v>257</v>
      </c>
      <c r="W4" s="55" t="s">
        <v>257</v>
      </c>
      <c r="X4" s="55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310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</row>
    <row r="12" spans="2:24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>
        <v>100</v>
      </c>
    </row>
    <row r="13" spans="2:24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294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</row>
    <row r="16" spans="2:24">
      <c r="B16" s="5" t="s">
        <v>253</v>
      </c>
      <c r="C16" s="6"/>
      <c r="D16" s="6">
        <v>1620</v>
      </c>
      <c r="E16" s="6"/>
      <c r="F16" s="6">
        <v>50</v>
      </c>
      <c r="G16" s="6"/>
      <c r="H16" s="6">
        <v>1300</v>
      </c>
      <c r="I16" s="6">
        <v>650</v>
      </c>
      <c r="J16" s="6"/>
      <c r="K16" s="6"/>
      <c r="L16" s="6">
        <v>600</v>
      </c>
      <c r="M16" s="6"/>
      <c r="N16" s="6">
        <v>600</v>
      </c>
      <c r="O16" s="6">
        <v>250</v>
      </c>
      <c r="P16" s="6"/>
      <c r="Q16" s="6">
        <v>1300</v>
      </c>
      <c r="R16" s="6"/>
      <c r="S16" s="6">
        <v>700</v>
      </c>
      <c r="T16" s="6">
        <v>700</v>
      </c>
      <c r="U16" s="6">
        <v>20</v>
      </c>
      <c r="V16" s="6">
        <v>700</v>
      </c>
      <c r="W16" s="6">
        <v>600</v>
      </c>
      <c r="X16" s="6"/>
    </row>
    <row r="17" spans="2:24">
      <c r="B17" s="5" t="s">
        <v>229</v>
      </c>
      <c r="C17" s="6">
        <v>240</v>
      </c>
      <c r="D17" s="6"/>
      <c r="E17" s="6">
        <v>420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8"/>
  <sheetViews>
    <sheetView zoomScale="107" zoomScaleNormal="107" workbookViewId="0">
      <pane ySplit="5" topLeftCell="A6" activePane="bottomLeft" state="frozen"/>
      <selection pane="bottomLeft" activeCell="B126" sqref="B126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309</v>
      </c>
      <c r="B2" s="45" t="s">
        <v>254</v>
      </c>
      <c r="I2" s="61" t="s">
        <v>235</v>
      </c>
      <c r="J2" s="62"/>
      <c r="M2" s="30"/>
      <c r="N2" s="30"/>
      <c r="O2" s="30"/>
      <c r="P2" s="30"/>
    </row>
    <row r="3" spans="1:19" ht="23" thickBot="1">
      <c r="I3" s="59">
        <f>LastSavedTimeStamp()</f>
        <v>44175.426446759258</v>
      </c>
      <c r="J3" s="60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 hidden="1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 hidden="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 hidden="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 hidden="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 hidden="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 hidden="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 hidden="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 hidden="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 hidden="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 hidden="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 hidden="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 hidden="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 hidden="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 hidden="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 hidden="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 hidden="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 hidden="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 hidden="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 hidden="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 hidden="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 hidden="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 hidden="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 hidden="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 hidden="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 hidden="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 hidden="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 hidden="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 hidden="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 hidden="1">
      <c r="A103" s="15" t="s">
        <v>292</v>
      </c>
      <c r="B103" s="19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 hidden="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 hidden="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 hidden="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 hidden="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 hidden="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 hidden="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 hidden="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 hidden="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500</v>
      </c>
      <c r="I112" s="17">
        <f t="shared" si="16"/>
        <v>100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 hidden="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 hidden="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 hidden="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 hidden="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 hidden="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 hidden="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 hidden="1">
      <c r="A119" s="15" t="s">
        <v>302</v>
      </c>
      <c r="B119" s="16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500</v>
      </c>
      <c r="I119" s="17">
        <f t="shared" si="18"/>
        <v>100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 hidden="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 hidden="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 hidden="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/>
      <c r="I122" s="17">
        <f t="shared" si="20"/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 hidden="1">
      <c r="A123" s="15" t="s">
        <v>304</v>
      </c>
      <c r="B123" s="18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/>
      <c r="I123" s="17">
        <f t="shared" si="20"/>
        <v>600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 hidden="1">
      <c r="A124" s="15" t="s">
        <v>304</v>
      </c>
      <c r="B124" s="18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/>
      <c r="I124" s="17">
        <f t="shared" si="20"/>
        <v>600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306</v>
      </c>
      <c r="B126" s="18" t="s">
        <v>310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 hidden="1">
      <c r="A127" s="15" t="s">
        <v>308</v>
      </c>
      <c r="B127" s="16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350</v>
      </c>
      <c r="I127" s="17">
        <f t="shared" si="20"/>
        <v>250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 hidden="1">
      <c r="A128" s="15"/>
      <c r="B128" s="16"/>
      <c r="C128" s="17"/>
      <c r="D128" s="17"/>
      <c r="E128" s="17"/>
      <c r="F128" s="17"/>
      <c r="G128" s="17">
        <f>F128*E128</f>
        <v>0</v>
      </c>
      <c r="H128" s="17"/>
      <c r="I128" s="17">
        <f>G128-H128</f>
        <v>0</v>
      </c>
      <c r="J128" s="18"/>
      <c r="K128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14" activePane="bottomLeft" state="frozen"/>
      <selection pane="bottomLeft" activeCell="D18" sqref="D18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 t="s">
        <v>307</v>
      </c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44173.693726851852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 hidden="1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 hidden="1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 hidden="1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 hidden="1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 hidden="1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 hidden="1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 hidden="1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 hidden="1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 hidden="1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 hidden="1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 hidden="1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 hidden="1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 hidden="1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 hidden="1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 hidden="1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 hidden="1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 hidden="1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 hidden="1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 hidden="1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 hidden="1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 hidden="1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 hidden="1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 hidden="1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 hidden="1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 hidden="1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 hidden="1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 hidden="1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 hidden="1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 hidden="1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 hidden="1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 hidden="1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 hidden="1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 hidden="1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 hidden="1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 hidden="1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 hidden="1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 hidden="1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 hidden="1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 hidden="1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 hidden="1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 hidden="1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 hidden="1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 hidden="1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 hidden="1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 hidden="1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 hidden="1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 hidden="1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 hidden="1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 hidden="1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 hidden="1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 hidden="1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 hidden="1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 hidden="1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 hidden="1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 hidden="1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 hidden="1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 hidden="1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 hidden="1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 hidden="1">
      <c r="A75" s="24">
        <v>73</v>
      </c>
      <c r="B75" s="22" t="s">
        <v>22</v>
      </c>
      <c r="C75" s="22">
        <v>191</v>
      </c>
      <c r="D75" s="53" t="s">
        <v>84</v>
      </c>
      <c r="E75" s="22">
        <v>0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 hidden="1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 hidden="1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 hidden="1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 hidden="1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 hidden="1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 hidden="1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 hidden="1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 hidden="1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 hidden="1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 hidden="1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 hidden="1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 hidden="1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 hidden="1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 hidden="1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 hidden="1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 hidden="1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 hidden="1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 hidden="1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 hidden="1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 hidden="1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 hidden="1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 hidden="1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 hidden="1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 hidden="1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 hidden="1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 hidden="1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 hidden="1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 hidden="1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 hidden="1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 hidden="1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 hidden="1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 hidden="1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 hidden="1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 hidden="1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 hidden="1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 hidden="1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 hidden="1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 hidden="1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 hidden="1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 hidden="1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 hidden="1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 hidden="1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 hidden="1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 hidden="1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 hidden="1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 hidden="1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 hidden="1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 hidden="1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 hidden="1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 hidden="1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 hidden="1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 hidden="1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 hidden="1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 hidden="1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 hidden="1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 hidden="1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 hidden="1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 hidden="1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 hidden="1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 hidden="1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 hidden="1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 hidden="1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 hidden="1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 hidden="1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 hidden="1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 hidden="1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 hidden="1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 hidden="1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 hidden="1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 hidden="1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 hidden="1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 hidden="1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 hidden="1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 hidden="1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 hidden="1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 hidden="1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 hidden="1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 hidden="1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 hidden="1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 hidden="1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 hidden="1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 hidden="1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 hidden="1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 hidden="1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 hidden="1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 hidden="1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 hidden="1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 hidden="1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 hidden="1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 hidden="1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 hidden="1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 hidden="1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 hidden="1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 hidden="1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 hidden="1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 hidden="1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 hidden="1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 hidden="1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 hidden="1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 hidden="1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 hidden="1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 hidden="1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 hidden="1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 hidden="1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 hidden="1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 hidden="1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 hidden="1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 hidden="1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 hidden="1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 hidden="1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 hidden="1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 hidden="1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 hidden="1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 hidden="1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 hidden="1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 hidden="1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 hidden="1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 hidden="1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 hidden="1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 hidden="1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 hidden="1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 hidden="1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 hidden="1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 hidden="1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 hidden="1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 hidden="1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 hidden="1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 hidden="1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 hidden="1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 hidden="1">
      <c r="A212" s="27"/>
      <c r="B212" s="28" t="s">
        <v>22</v>
      </c>
      <c r="C212" s="28">
        <v>131</v>
      </c>
      <c r="D212" s="54" t="s">
        <v>283</v>
      </c>
      <c r="E212" s="28">
        <v>9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 hidden="1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 hidden="1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 hidden="1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 hidden="1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 hidden="1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 hidden="1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 hidden="1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 hidden="1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 hidden="1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 hidden="1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 hidden="1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 hidden="1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 hidden="1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 hidden="1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 hidden="1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 hidden="1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 hidden="1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 hidden="1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 hidden="1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 hidden="1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 hidden="1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 hidden="1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 hidden="1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 hidden="1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 hidden="1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 hidden="1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 hidden="1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3" t="s">
        <v>233</v>
      </c>
      <c r="B1" s="64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2020-12-10T07:02:11Z</dcterms:modified>
</cp:coreProperties>
</file>