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B7432C52-95D9-E141-82E3-F4E4C51B2A73}" xr6:coauthVersionLast="45" xr6:coauthVersionMax="45" xr10:uidLastSave="{00000000-0000-0000-0000-000000000000}"/>
  <bookViews>
    <workbookView xWindow="0" yWindow="500" windowWidth="25600" windowHeight="12700" xr2:uid="{00000000-000D-0000-FFFF-FFFF00000000}"/>
  </bookViews>
  <sheets>
    <sheet name="PaperSummary" sheetId="301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Paper!$A$5:$J$151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8"/>
  </pivotCaches>
</workbook>
</file>

<file path=xl/calcChain.xml><?xml version="1.0" encoding="utf-8"?>
<calcChain xmlns="http://schemas.openxmlformats.org/spreadsheetml/2006/main">
  <c r="G151" i="2" l="1"/>
  <c r="I151" i="2" s="1"/>
  <c r="K151" i="2"/>
  <c r="G150" i="2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B1" i="301"/>
  <c r="G143" i="2" l="1"/>
  <c r="I143" i="2" s="1"/>
  <c r="K143" i="2"/>
  <c r="F3" i="3"/>
  <c r="G142" i="2" l="1"/>
  <c r="I142" i="2" s="1"/>
  <c r="K142" i="2"/>
  <c r="G141" i="2" l="1"/>
  <c r="I141" i="2" s="1"/>
  <c r="K141" i="2"/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<sst xmlns="http://schemas.openxmlformats.org/spreadsheetml/2006/main" count="952" uniqueCount="327">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</sst>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29.404406597219" createdVersion="3" refreshedVersion="6" minRefreshableVersion="3" recordCount="145" xr:uid="{D4280638-215E-C348-8ED3-37D2E16395E7}">
  <cacheSource type="worksheet">
    <worksheetSource ref="A5:K150" sheet="Paper"/>
  </cacheSource>
  <cacheFields count="11">
    <cacheField name="Arrival" numFmtId="49">
      <sharedItems count="57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8">
        <n v="600"/>
        <m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2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7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3"/>
    <x v="4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3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2"/>
    <x v="3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8"/>
    <x v="6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2"/>
    <x v="3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7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5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1"/>
    <x v="1"/>
    <x v="0"/>
    <x v="8"/>
  </r>
  <r>
    <x v="55"/>
    <x v="0"/>
    <x v="6"/>
    <x v="1"/>
    <x v="0"/>
    <x v="0"/>
    <x v="0"/>
    <x v="1"/>
    <x v="1"/>
    <x v="0"/>
    <x v="10"/>
  </r>
  <r>
    <x v="55"/>
    <x v="0"/>
    <x v="7"/>
    <x v="1"/>
    <x v="0"/>
    <x v="0"/>
    <x v="0"/>
    <x v="1"/>
    <x v="1"/>
    <x v="0"/>
    <x v="8"/>
  </r>
  <r>
    <x v="56"/>
    <x v="6"/>
    <x v="12"/>
    <x v="1"/>
    <x v="0"/>
    <x v="0"/>
    <x v="0"/>
    <x v="1"/>
    <x v="1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1"/>
    <x v="1"/>
    <x v="0"/>
    <x v="21"/>
  </r>
  <r>
    <x v="56"/>
    <x v="0"/>
    <x v="8"/>
    <x v="1"/>
    <x v="0"/>
    <x v="0"/>
    <x v="0"/>
    <x v="1"/>
    <x v="1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1EA49E-80EE-6C4F-8B5F-40CAB44F2D80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7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"/>
        <item x="55"/>
        <item x="54"/>
        <item x="56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3"/>
        <item x="7"/>
        <item x="15"/>
        <item x="6"/>
        <item x="17"/>
        <item x="14"/>
        <item x="8"/>
        <item x="12"/>
        <item x="2"/>
        <item x="9"/>
        <item x="4"/>
        <item x="3"/>
        <item x="5"/>
        <item x="10"/>
        <item x="11"/>
        <item x="0"/>
        <item x="16"/>
        <item x="1"/>
      </items>
    </pivotField>
    <pivotField dataField="1" showAll="0" defaultSubtotal="0">
      <items count="19">
        <item x="0"/>
        <item x="13"/>
        <item x="8"/>
        <item x="7"/>
        <item x="4"/>
        <item x="11"/>
        <item x="14"/>
        <item x="5"/>
        <item x="10"/>
        <item x="9"/>
        <item x="3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7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51" headerRowDxfId="39" dataDxfId="38" totalsRowDxfId="37">
  <autoFilter ref="A5:K151" xr:uid="{00000000-0009-0000-0100-000002000000}">
    <filterColumn colId="10">
      <customFilters>
        <customFilter val="*140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64E8B-CECB-6B41-B5DF-A39C33695CF5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>
      <c r="B1" s="50">
        <f>LastSavedTimeStamp()</f>
        <v>44229.404386574075</v>
      </c>
    </row>
    <row r="2" spans="2:25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2:25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3">
        <v>125</v>
      </c>
      <c r="I3" s="54"/>
      <c r="J3" s="51">
        <v>130</v>
      </c>
      <c r="K3" s="51">
        <v>135</v>
      </c>
      <c r="L3" s="51">
        <v>140</v>
      </c>
      <c r="M3" s="51">
        <v>150</v>
      </c>
      <c r="N3" s="53">
        <v>155</v>
      </c>
      <c r="O3" s="54"/>
      <c r="P3" s="51">
        <v>160</v>
      </c>
      <c r="Q3" s="51">
        <v>165</v>
      </c>
      <c r="R3" s="51">
        <v>175</v>
      </c>
      <c r="S3" s="53">
        <v>185</v>
      </c>
      <c r="T3" s="54"/>
      <c r="U3" s="53">
        <v>205</v>
      </c>
      <c r="V3" s="54"/>
      <c r="W3" s="51">
        <v>210</v>
      </c>
      <c r="X3" s="51">
        <v>215</v>
      </c>
      <c r="Y3" s="51">
        <v>220</v>
      </c>
    </row>
    <row r="4" spans="2:25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264</v>
      </c>
      <c r="I4" s="51" t="s">
        <v>256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264</v>
      </c>
      <c r="O4" s="51" t="s">
        <v>256</v>
      </c>
      <c r="P4" s="51" t="s">
        <v>256</v>
      </c>
      <c r="Q4" s="51" t="s">
        <v>256</v>
      </c>
      <c r="R4" s="51" t="s">
        <v>256</v>
      </c>
      <c r="S4" s="51" t="s">
        <v>264</v>
      </c>
      <c r="T4" s="51" t="s">
        <v>256</v>
      </c>
      <c r="U4" s="51" t="s">
        <v>264</v>
      </c>
      <c r="V4" s="51" t="s">
        <v>256</v>
      </c>
      <c r="W4" s="51" t="s">
        <v>256</v>
      </c>
      <c r="X4" s="51" t="s">
        <v>256</v>
      </c>
      <c r="Y4" s="51" t="s">
        <v>256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1600</v>
      </c>
      <c r="F11" s="6"/>
      <c r="G11" s="6"/>
      <c r="H11" s="6"/>
      <c r="I11" s="6"/>
      <c r="J11" s="6">
        <v>30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600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800</v>
      </c>
      <c r="J17" s="6"/>
      <c r="K17" s="6"/>
      <c r="L17" s="6">
        <v>600</v>
      </c>
      <c r="M17" s="6"/>
      <c r="N17" s="6">
        <v>1200</v>
      </c>
      <c r="O17" s="6">
        <v>0</v>
      </c>
      <c r="P17" s="6"/>
      <c r="Q17" s="6">
        <v>1200</v>
      </c>
      <c r="R17" s="6"/>
      <c r="S17" s="6">
        <v>50</v>
      </c>
      <c r="T17" s="6">
        <v>200</v>
      </c>
      <c r="U17" s="6">
        <v>20</v>
      </c>
      <c r="V17" s="6">
        <v>650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51"/>
  <sheetViews>
    <sheetView zoomScale="150" zoomScaleNormal="150" workbookViewId="0">
      <pane ySplit="5" topLeftCell="A143" activePane="bottomLeft" state="frozen"/>
      <selection pane="bottomLeft" activeCell="H150" sqref="H150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326</v>
      </c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 hidden="1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 hidden="1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 hidden="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 hidden="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 hidden="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 hidden="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218</v>
      </c>
      <c r="B59" s="18" t="s">
        <v>260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 hidden="1">
      <c r="A60" s="15" t="s">
        <v>226</v>
      </c>
      <c r="B60" s="18" t="s">
        <v>252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 hidden="1">
      <c r="A61" s="15" t="s">
        <v>227</v>
      </c>
      <c r="B61" s="48" t="s">
        <v>252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 hidden="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 hidden="1">
      <c r="A63" s="15" t="s">
        <v>218</v>
      </c>
      <c r="B63" s="18" t="s">
        <v>252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 hidden="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 hidden="1">
      <c r="A65" s="15" t="s">
        <v>249</v>
      </c>
      <c r="B65" s="18" t="s">
        <v>252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 hidden="1">
      <c r="A66" s="15" t="s">
        <v>262</v>
      </c>
      <c r="B66" s="18" t="s">
        <v>252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 hidden="1">
      <c r="A67" s="15" t="s">
        <v>262</v>
      </c>
      <c r="B67" s="18" t="s">
        <v>252</v>
      </c>
      <c r="C67" s="17">
        <v>185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196</v>
      </c>
      <c r="B68" s="18" t="s">
        <v>252</v>
      </c>
      <c r="C68" s="17">
        <v>155</v>
      </c>
      <c r="D68" s="17" t="s">
        <v>264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 hidden="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 hidden="1">
      <c r="A70" s="15" t="s">
        <v>265</v>
      </c>
      <c r="B70" s="18" t="s">
        <v>252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 hidden="1">
      <c r="A71" s="15" t="s">
        <v>196</v>
      </c>
      <c r="B71" s="18" t="s">
        <v>252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 hidden="1">
      <c r="A72" s="15" t="s">
        <v>267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 hidden="1">
      <c r="A73" s="15" t="s">
        <v>266</v>
      </c>
      <c r="B73" s="18" t="s">
        <v>252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 hidden="1">
      <c r="A74" s="15" t="s">
        <v>266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266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 hidden="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 hidden="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269</v>
      </c>
      <c r="B78" s="18" t="s">
        <v>252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 hidden="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271</v>
      </c>
      <c r="B80" s="18" t="s">
        <v>252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 hidden="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 hidden="1">
      <c r="A82" s="15" t="s">
        <v>273</v>
      </c>
      <c r="B82" s="18" t="s">
        <v>274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 hidden="1">
      <c r="A83" s="39" t="s">
        <v>272</v>
      </c>
      <c r="B83" s="41" t="s">
        <v>252</v>
      </c>
      <c r="C83" s="49">
        <v>165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>
      <c r="A84" s="39" t="s">
        <v>272</v>
      </c>
      <c r="B84" s="41" t="s">
        <v>252</v>
      </c>
      <c r="C84" s="49">
        <v>140</v>
      </c>
      <c r="D84" s="49"/>
      <c r="E84" s="49">
        <v>600</v>
      </c>
      <c r="F84" s="49">
        <v>1</v>
      </c>
      <c r="G84" s="17">
        <f t="shared" si="7"/>
        <v>600</v>
      </c>
      <c r="H84" s="4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 hidden="1">
      <c r="A85" s="15" t="s">
        <v>275</v>
      </c>
      <c r="B85" s="18" t="s">
        <v>276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>
      <c r="A86" s="15" t="s">
        <v>277</v>
      </c>
      <c r="B86" s="18" t="s">
        <v>252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 hidden="1">
      <c r="A87" s="15" t="s">
        <v>279</v>
      </c>
      <c r="B87" s="18" t="s">
        <v>280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 hidden="1">
      <c r="A88" s="15" t="s">
        <v>279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>
      <c r="A89" s="15" t="s">
        <v>281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 hidden="1">
      <c r="A90" s="15" t="s">
        <v>282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 hidden="1">
      <c r="A91" s="15" t="s">
        <v>283</v>
      </c>
      <c r="B91" s="18" t="s">
        <v>252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 hidden="1">
      <c r="A92" s="15" t="s">
        <v>283</v>
      </c>
      <c r="B92" s="17" t="s">
        <v>252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 hidden="1">
      <c r="A93" s="15" t="s">
        <v>282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 hidden="1">
      <c r="A94" s="15" t="s">
        <v>285</v>
      </c>
      <c r="B94" s="18" t="s">
        <v>252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 hidden="1">
      <c r="A95" s="15" t="s">
        <v>285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 hidden="1">
      <c r="A96" s="15" t="s">
        <v>285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 hidden="1">
      <c r="A97" s="15" t="s">
        <v>285</v>
      </c>
      <c r="B97" s="18" t="s">
        <v>252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 hidden="1">
      <c r="A98" s="15" t="s">
        <v>285</v>
      </c>
      <c r="B98" s="18" t="s">
        <v>252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 hidden="1">
      <c r="A99" s="15" t="s">
        <v>285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 hidden="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 hidden="1">
      <c r="A101" s="15" t="s">
        <v>286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 hidden="1">
      <c r="A102" s="15" t="s">
        <v>287</v>
      </c>
      <c r="B102" s="18" t="s">
        <v>252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 hidden="1">
      <c r="A103" s="15" t="s">
        <v>287</v>
      </c>
      <c r="B103" s="16" t="s">
        <v>252</v>
      </c>
      <c r="C103" s="17">
        <v>185</v>
      </c>
      <c r="D103" s="17" t="s">
        <v>264</v>
      </c>
      <c r="E103" s="17">
        <v>600</v>
      </c>
      <c r="F103" s="17">
        <v>1</v>
      </c>
      <c r="G103" s="17">
        <f t="shared" si="13"/>
        <v>600</v>
      </c>
      <c r="H103" s="17">
        <v>550</v>
      </c>
      <c r="I103" s="17">
        <f t="shared" si="14"/>
        <v>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 hidden="1">
      <c r="A104" s="15" t="s">
        <v>287</v>
      </c>
      <c r="B104" s="18" t="s">
        <v>252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 hidden="1">
      <c r="A105" s="15" t="s">
        <v>288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290</v>
      </c>
      <c r="B106" s="16" t="s">
        <v>289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290</v>
      </c>
      <c r="B109" s="16" t="s">
        <v>289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 hidden="1">
      <c r="A110" s="15" t="s">
        <v>292</v>
      </c>
      <c r="B110" s="16" t="s">
        <v>293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>
      <c r="A111" s="15" t="s">
        <v>292</v>
      </c>
      <c r="B111" s="16" t="s">
        <v>293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 hidden="1">
      <c r="A112" s="15" t="s">
        <v>295</v>
      </c>
      <c r="B112" s="18" t="s">
        <v>252</v>
      </c>
      <c r="C112" s="17">
        <v>185</v>
      </c>
      <c r="D112" s="17" t="s">
        <v>264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 hidden="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296</v>
      </c>
      <c r="B114" s="18" t="s">
        <v>252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 hidden="1">
      <c r="A115" s="15" t="s">
        <v>296</v>
      </c>
      <c r="B115" s="18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 hidden="1">
      <c r="A116" s="15" t="s">
        <v>296</v>
      </c>
      <c r="B116" s="16" t="s">
        <v>260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 hidden="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 hidden="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 hidden="1">
      <c r="A119" s="15" t="s">
        <v>297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 hidden="1">
      <c r="A120" s="15" t="s">
        <v>298</v>
      </c>
      <c r="B120" s="18" t="s">
        <v>252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 hidden="1">
      <c r="A121" s="15" t="s">
        <v>298</v>
      </c>
      <c r="B121" s="17" t="s">
        <v>252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>
        <v>400</v>
      </c>
      <c r="I121" s="17">
        <f t="shared" ref="I121:I127" si="20">G121-H121</f>
        <v>200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 hidden="1">
      <c r="A122" s="15" t="s">
        <v>298</v>
      </c>
      <c r="B122" s="18" t="s">
        <v>252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 hidden="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 hidden="1">
      <c r="A124" s="15" t="s">
        <v>299</v>
      </c>
      <c r="B124" s="18" t="s">
        <v>252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>
      <c r="A125" s="15" t="s">
        <v>300</v>
      </c>
      <c r="B125" s="16" t="s">
        <v>252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600</v>
      </c>
      <c r="I125" s="17">
        <f t="shared" si="20"/>
        <v>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>
      <c r="A126" s="15" t="s">
        <v>301</v>
      </c>
      <c r="B126" s="17" t="s">
        <v>303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 hidden="1">
      <c r="A127" s="15" t="s">
        <v>302</v>
      </c>
      <c r="B127" s="18" t="s">
        <v>252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 hidden="1">
      <c r="A128" s="15" t="s">
        <v>302</v>
      </c>
      <c r="B128" s="16" t="s">
        <v>304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 hidden="1">
      <c r="A129" s="15" t="s">
        <v>305</v>
      </c>
      <c r="B129" s="16" t="s">
        <v>252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 hidden="1">
      <c r="A130" s="15" t="s">
        <v>306</v>
      </c>
      <c r="B130" s="16" t="s">
        <v>252</v>
      </c>
      <c r="C130" s="17">
        <v>155</v>
      </c>
      <c r="D130" s="17" t="s">
        <v>264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 hidden="1">
      <c r="A131" s="15" t="s">
        <v>307</v>
      </c>
      <c r="B131" s="18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 hidden="1">
      <c r="A132" s="15" t="s">
        <v>307</v>
      </c>
      <c r="B132" s="16" t="s">
        <v>252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 hidden="1">
      <c r="A133" s="15" t="s">
        <v>316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600</v>
      </c>
      <c r="I133" s="17">
        <f t="shared" si="22"/>
        <v>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 hidden="1">
      <c r="A134" s="15" t="s">
        <v>317</v>
      </c>
      <c r="B134" s="16" t="s">
        <v>252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>
        <v>400</v>
      </c>
      <c r="I134" s="17">
        <f t="shared" ref="I134:I140" si="24">G134-H134</f>
        <v>200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318</v>
      </c>
    </row>
    <row r="135" spans="1:13" hidden="1">
      <c r="A135" s="15" t="s">
        <v>317</v>
      </c>
      <c r="B135" s="16" t="s">
        <v>252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>
      <c r="A136" s="15" t="s">
        <v>317</v>
      </c>
      <c r="B136" s="16" t="s">
        <v>252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 hidden="1">
      <c r="A137" s="15" t="s">
        <v>317</v>
      </c>
      <c r="B137" s="16" t="s">
        <v>252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>
        <v>600</v>
      </c>
      <c r="I137" s="17">
        <f t="shared" si="24"/>
        <v>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 hidden="1">
      <c r="A138" s="15" t="s">
        <v>317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 hidden="1">
      <c r="A139" s="15" t="s">
        <v>317</v>
      </c>
      <c r="B139" s="16" t="s">
        <v>252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>
        <v>600</v>
      </c>
      <c r="I139" s="17">
        <f t="shared" si="24"/>
        <v>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 hidden="1">
      <c r="A140" s="15" t="s">
        <v>320</v>
      </c>
      <c r="B140" s="16" t="s">
        <v>230</v>
      </c>
      <c r="C140" s="17">
        <v>130</v>
      </c>
      <c r="D140" s="17"/>
      <c r="E140" s="17">
        <v>600</v>
      </c>
      <c r="F140" s="17">
        <v>1</v>
      </c>
      <c r="G140" s="17">
        <f t="shared" si="23"/>
        <v>600</v>
      </c>
      <c r="H140" s="17">
        <v>570</v>
      </c>
      <c r="I140" s="17">
        <f t="shared" si="24"/>
        <v>30</v>
      </c>
      <c r="J140" s="17"/>
      <c r="K140" s="19" t="str">
        <f>CONCATENATE(Table2[[#This Row],[Specs]],Table2[[#This Row],[Width]],Table2[[#This Row],[Slitting]])</f>
        <v>N 上質&lt;55&gt;ME 7GB130</v>
      </c>
    </row>
    <row r="141" spans="1:13" hidden="1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 t="shared" ref="G141:G151" si="25">F141*E141</f>
        <v>600</v>
      </c>
      <c r="H141" s="17">
        <v>600</v>
      </c>
      <c r="I141" s="17">
        <f t="shared" ref="I141:I151" si="26">G141-H141</f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 hidden="1">
      <c r="A142" s="15" t="s">
        <v>321</v>
      </c>
      <c r="B142" s="16" t="s">
        <v>252</v>
      </c>
      <c r="C142" s="17">
        <v>165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8GB165</v>
      </c>
    </row>
    <row r="143" spans="1:13">
      <c r="A143" s="15" t="s">
        <v>323</v>
      </c>
      <c r="B143" s="16" t="s">
        <v>252</v>
      </c>
      <c r="C143" s="17">
        <v>140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8GB140</v>
      </c>
    </row>
    <row r="144" spans="1:13" hidden="1">
      <c r="A144" s="15" t="s">
        <v>324</v>
      </c>
      <c r="B144" s="16" t="s">
        <v>252</v>
      </c>
      <c r="C144" s="17">
        <v>165</v>
      </c>
      <c r="D144" s="17"/>
      <c r="E144" s="17">
        <v>600</v>
      </c>
      <c r="F144" s="17">
        <v>1</v>
      </c>
      <c r="G144" s="17">
        <f t="shared" si="25"/>
        <v>600</v>
      </c>
      <c r="H144" s="17"/>
      <c r="I144" s="17">
        <f t="shared" si="26"/>
        <v>600</v>
      </c>
      <c r="J144" s="17"/>
      <c r="K144" s="19" t="str">
        <f>CONCATENATE(Table2[[#This Row],[Specs]],Table2[[#This Row],[Width]],Table2[[#This Row],[Slitting]])</f>
        <v>y ユポ80 MDN 8GB165</v>
      </c>
    </row>
    <row r="145" spans="1:11" hidden="1">
      <c r="A145" s="15" t="s">
        <v>324</v>
      </c>
      <c r="B145" s="16" t="s">
        <v>252</v>
      </c>
      <c r="C145" s="17">
        <v>125</v>
      </c>
      <c r="D145" s="17"/>
      <c r="E145" s="17">
        <v>600</v>
      </c>
      <c r="F145" s="17">
        <v>1</v>
      </c>
      <c r="G145" s="17">
        <f t="shared" si="25"/>
        <v>600</v>
      </c>
      <c r="H145" s="17"/>
      <c r="I145" s="17">
        <f t="shared" si="26"/>
        <v>600</v>
      </c>
      <c r="J145" s="17"/>
      <c r="K145" s="19" t="str">
        <f>CONCATENATE(Table2[[#This Row],[Specs]],Table2[[#This Row],[Width]],Table2[[#This Row],[Slitting]])</f>
        <v>y ユポ80 MDN 8GB125</v>
      </c>
    </row>
    <row r="146" spans="1:11" hidden="1">
      <c r="A146" s="15" t="s">
        <v>324</v>
      </c>
      <c r="B146" s="16" t="s">
        <v>252</v>
      </c>
      <c r="C146" s="17">
        <v>165</v>
      </c>
      <c r="D146" s="17"/>
      <c r="E146" s="17">
        <v>600</v>
      </c>
      <c r="F146" s="17">
        <v>1</v>
      </c>
      <c r="G146" s="17">
        <f t="shared" si="25"/>
        <v>600</v>
      </c>
      <c r="H146" s="17"/>
      <c r="I146" s="17">
        <f t="shared" si="26"/>
        <v>600</v>
      </c>
      <c r="J146" s="17"/>
      <c r="K146" s="19" t="str">
        <f>CONCATENATE(Table2[[#This Row],[Specs]],Table2[[#This Row],[Width]],Table2[[#This Row],[Slitting]])</f>
        <v>y ユポ80 MDN 8GB165</v>
      </c>
    </row>
    <row r="147" spans="1:11" hidden="1">
      <c r="A147" s="15" t="s">
        <v>325</v>
      </c>
      <c r="B147" s="16" t="s">
        <v>230</v>
      </c>
      <c r="C147" s="17">
        <v>100</v>
      </c>
      <c r="D147" s="17"/>
      <c r="E147" s="17">
        <v>600</v>
      </c>
      <c r="F147" s="17">
        <v>1</v>
      </c>
      <c r="G147" s="17">
        <f t="shared" si="25"/>
        <v>600</v>
      </c>
      <c r="H147" s="17"/>
      <c r="I147" s="17">
        <f t="shared" si="26"/>
        <v>600</v>
      </c>
      <c r="J147" s="17"/>
      <c r="K147" s="19" t="str">
        <f>CONCATENATE(Table2[[#This Row],[Specs]],Table2[[#This Row],[Width]],Table2[[#This Row],[Slitting]])</f>
        <v>N 上質&lt;55&gt;ME 7GB100</v>
      </c>
    </row>
    <row r="148" spans="1:11">
      <c r="A148" s="15" t="s">
        <v>325</v>
      </c>
      <c r="B148" s="16" t="s">
        <v>252</v>
      </c>
      <c r="C148" s="17">
        <v>140</v>
      </c>
      <c r="D148" s="17"/>
      <c r="E148" s="17">
        <v>600</v>
      </c>
      <c r="F148" s="17">
        <v>1</v>
      </c>
      <c r="G148" s="17">
        <f t="shared" si="25"/>
        <v>600</v>
      </c>
      <c r="H148" s="17">
        <v>600</v>
      </c>
      <c r="I148" s="17">
        <f t="shared" si="26"/>
        <v>0</v>
      </c>
      <c r="J148" s="17"/>
      <c r="K148" s="19" t="str">
        <f>CONCATENATE(Table2[[#This Row],[Specs]],Table2[[#This Row],[Width]],Table2[[#This Row],[Slitting]])</f>
        <v>y ユポ80 MDN 8GB140</v>
      </c>
    </row>
    <row r="149" spans="1:11" hidden="1">
      <c r="A149" s="15" t="s">
        <v>325</v>
      </c>
      <c r="B149" s="16" t="s">
        <v>230</v>
      </c>
      <c r="C149" s="17">
        <v>100</v>
      </c>
      <c r="D149" s="17"/>
      <c r="E149" s="17">
        <v>600</v>
      </c>
      <c r="F149" s="17">
        <v>1</v>
      </c>
      <c r="G149" s="17">
        <f t="shared" si="25"/>
        <v>600</v>
      </c>
      <c r="H149" s="17"/>
      <c r="I149" s="17">
        <f t="shared" si="26"/>
        <v>600</v>
      </c>
      <c r="J149" s="17"/>
      <c r="K149" s="19" t="str">
        <f>CONCATENATE(Table2[[#This Row],[Specs]],Table2[[#This Row],[Width]],Table2[[#This Row],[Slitting]])</f>
        <v>N 上質&lt;55&gt;ME 7GB100</v>
      </c>
    </row>
    <row r="150" spans="1:11">
      <c r="A150" s="15" t="s">
        <v>325</v>
      </c>
      <c r="B150" s="16" t="s">
        <v>252</v>
      </c>
      <c r="C150" s="17">
        <v>140</v>
      </c>
      <c r="D150" s="17"/>
      <c r="E150" s="17">
        <v>600</v>
      </c>
      <c r="F150" s="17">
        <v>1</v>
      </c>
      <c r="G150" s="17">
        <f t="shared" si="25"/>
        <v>600</v>
      </c>
      <c r="H150" s="17"/>
      <c r="I150" s="17">
        <f t="shared" si="26"/>
        <v>600</v>
      </c>
      <c r="J150" s="17"/>
      <c r="K150" s="19" t="str">
        <f>CONCATENATE(Table2[[#This Row],[Specs]],Table2[[#This Row],[Width]],Table2[[#This Row],[Slitting]])</f>
        <v>y ユポ80 MDN 8GB140</v>
      </c>
    </row>
    <row r="151" spans="1:11" hidden="1">
      <c r="A151" s="15"/>
      <c r="B151" s="16"/>
      <c r="C151" s="17"/>
      <c r="D151" s="17"/>
      <c r="E151" s="17"/>
      <c r="F151" s="17"/>
      <c r="G151" s="17">
        <f t="shared" si="25"/>
        <v>0</v>
      </c>
      <c r="H151" s="17"/>
      <c r="I151" s="17">
        <f t="shared" si="26"/>
        <v>0</v>
      </c>
      <c r="J151" s="17"/>
      <c r="K151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1" activePane="bottomLeft" state="frozen"/>
      <selection pane="bottomLeft" activeCell="C220" sqref="C220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322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2021-02-02T00:42:24Z</dcterms:modified>
</cp:coreProperties>
</file>