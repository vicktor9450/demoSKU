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FD8B51E-A348-E94A-9A6C-02F90FA861A8}" xr6:coauthVersionLast="45" xr6:coauthVersionMax="45" xr10:uidLastSave="{00000000-0000-0000-0000-000000000000}"/>
  <bookViews>
    <workbookView xWindow="24920" yWindow="13160" windowWidth="25600" windowHeight="13000" activeTab="1" xr2:uid="{00000000-000D-0000-FFFF-FFFF00000000}"/>
  </bookViews>
  <sheets>
    <sheet name="PaperSummary" sheetId="23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I3" i="2"/>
  <c r="G113" i="2" l="1"/>
  <c r="I113" i="2" s="1"/>
  <c r="K113" i="2"/>
  <c r="F3" i="3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<sst xmlns="http://schemas.openxmlformats.org/spreadsheetml/2006/main" count="871" uniqueCount="303">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</sst>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4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1.409306944443" createdVersion="3" refreshedVersion="6" minRefreshableVersion="3" recordCount="114" xr:uid="{50A68A66-B641-D543-901A-C53BFF9C173D}">
  <cacheSource type="worksheet">
    <worksheetSource ref="A5:K119" sheet="Paper"/>
  </cacheSource>
  <cacheFields count="11">
    <cacheField name="Arrival" numFmtId="49">
      <sharedItems count="4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20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200"/>
        <n v="450"/>
        <n v="250"/>
        <n v="8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15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4"/>
    <x v="16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4"/>
    <x v="5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4"/>
    <x v="16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6"/>
    <x v="12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7"/>
    <x v="18"/>
    <x v="0"/>
    <x v="9"/>
  </r>
  <r>
    <x v="33"/>
    <x v="2"/>
    <x v="3"/>
    <x v="1"/>
    <x v="0"/>
    <x v="0"/>
    <x v="0"/>
    <x v="8"/>
    <x v="6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"/>
    <x v="19"/>
    <x v="0"/>
    <x v="30"/>
  </r>
  <r>
    <x v="37"/>
    <x v="11"/>
    <x v="12"/>
    <x v="1"/>
    <x v="8"/>
    <x v="0"/>
    <x v="9"/>
    <x v="18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9"/>
    <x v="20"/>
    <x v="0"/>
    <x v="32"/>
  </r>
  <r>
    <x v="39"/>
    <x v="0"/>
    <x v="0"/>
    <x v="0"/>
    <x v="0"/>
    <x v="0"/>
    <x v="0"/>
    <x v="3"/>
    <x v="4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2"/>
    <x v="2"/>
    <x v="0"/>
    <x v="8"/>
  </r>
  <r>
    <x v="40"/>
    <x v="10"/>
    <x v="15"/>
    <x v="1"/>
    <x v="0"/>
    <x v="0"/>
    <x v="0"/>
    <x v="1"/>
    <x v="1"/>
    <x v="0"/>
    <x v="25"/>
  </r>
  <r>
    <x v="40"/>
    <x v="10"/>
    <x v="15"/>
    <x v="1"/>
    <x v="0"/>
    <x v="0"/>
    <x v="0"/>
    <x v="1"/>
    <x v="1"/>
    <x v="0"/>
    <x v="25"/>
  </r>
  <r>
    <x v="41"/>
    <x v="0"/>
    <x v="7"/>
    <x v="1"/>
    <x v="0"/>
    <x v="0"/>
    <x v="0"/>
    <x v="4"/>
    <x v="5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C2C780-AF31-A54F-B3E6-C7879484DD6C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2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20">
        <item x="15"/>
        <item x="7"/>
        <item x="19"/>
        <item x="3"/>
        <item x="6"/>
        <item x="16"/>
        <item x="18"/>
        <item x="8"/>
        <item x="12"/>
        <item x="2"/>
        <item x="17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18"/>
        <item x="2"/>
        <item x="17"/>
        <item x="6"/>
        <item x="19"/>
        <item x="12"/>
        <item x="4"/>
        <item x="20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0" headerRowDxfId="33" dataDxfId="32" totalsRowDxfId="31">
  <autoFilter ref="A5:K12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C15D-AAAD-6843-82E5-7F91F69DFE3E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2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4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</row>
    <row r="3" spans="2:24">
      <c r="B3" s="55"/>
      <c r="C3" s="54">
        <v>40</v>
      </c>
      <c r="D3" s="54">
        <v>90</v>
      </c>
      <c r="E3" s="54">
        <v>100</v>
      </c>
      <c r="F3" s="54">
        <v>115</v>
      </c>
      <c r="G3" s="54">
        <v>120</v>
      </c>
      <c r="H3" s="56">
        <v>125</v>
      </c>
      <c r="I3" s="57"/>
      <c r="J3" s="54">
        <v>130</v>
      </c>
      <c r="K3" s="54">
        <v>135</v>
      </c>
      <c r="L3" s="54">
        <v>140</v>
      </c>
      <c r="M3" s="54">
        <v>150</v>
      </c>
      <c r="N3" s="56">
        <v>155</v>
      </c>
      <c r="O3" s="57"/>
      <c r="P3" s="54">
        <v>160</v>
      </c>
      <c r="Q3" s="54">
        <v>165</v>
      </c>
      <c r="R3" s="54">
        <v>175</v>
      </c>
      <c r="S3" s="56">
        <v>185</v>
      </c>
      <c r="T3" s="57"/>
      <c r="U3" s="56">
        <v>205</v>
      </c>
      <c r="V3" s="57"/>
      <c r="W3" s="54">
        <v>215</v>
      </c>
      <c r="X3" s="54">
        <v>220</v>
      </c>
    </row>
    <row r="4" spans="2:24" ht="46">
      <c r="B4" s="7" t="s">
        <v>0</v>
      </c>
      <c r="C4" s="54" t="s">
        <v>257</v>
      </c>
      <c r="D4" s="54" t="s">
        <v>257</v>
      </c>
      <c r="E4" s="54" t="s">
        <v>257</v>
      </c>
      <c r="F4" s="54" t="s">
        <v>257</v>
      </c>
      <c r="G4" s="54" t="s">
        <v>257</v>
      </c>
      <c r="H4" s="54" t="s">
        <v>267</v>
      </c>
      <c r="I4" s="54" t="s">
        <v>257</v>
      </c>
      <c r="J4" s="54" t="s">
        <v>257</v>
      </c>
      <c r="K4" s="54" t="s">
        <v>257</v>
      </c>
      <c r="L4" s="54" t="s">
        <v>257</v>
      </c>
      <c r="M4" s="54" t="s">
        <v>257</v>
      </c>
      <c r="N4" s="54" t="s">
        <v>267</v>
      </c>
      <c r="O4" s="54" t="s">
        <v>257</v>
      </c>
      <c r="P4" s="54" t="s">
        <v>257</v>
      </c>
      <c r="Q4" s="54" t="s">
        <v>257</v>
      </c>
      <c r="R4" s="54" t="s">
        <v>257</v>
      </c>
      <c r="S4" s="54" t="s">
        <v>267</v>
      </c>
      <c r="T4" s="54" t="s">
        <v>257</v>
      </c>
      <c r="U4" s="54" t="s">
        <v>267</v>
      </c>
      <c r="V4" s="54" t="s">
        <v>257</v>
      </c>
      <c r="W4" s="54" t="s">
        <v>257</v>
      </c>
      <c r="X4" s="54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1210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50</v>
      </c>
      <c r="J15" s="6"/>
      <c r="K15" s="6"/>
      <c r="L15" s="6">
        <v>100</v>
      </c>
      <c r="M15" s="6"/>
      <c r="N15" s="6">
        <v>630</v>
      </c>
      <c r="O15" s="6">
        <v>150</v>
      </c>
      <c r="P15" s="6"/>
      <c r="Q15" s="6">
        <v>1550</v>
      </c>
      <c r="R15" s="6"/>
      <c r="S15" s="6">
        <v>1100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0"/>
  <sheetViews>
    <sheetView tabSelected="1" zoomScale="107" zoomScaleNormal="107" workbookViewId="0">
      <pane ySplit="5" topLeftCell="A107" activePane="bottomLeft" state="frozen"/>
      <selection pane="bottomLeft" activeCell="B118" sqref="B118:B119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60" t="s">
        <v>235</v>
      </c>
      <c r="J2" s="61"/>
      <c r="M2" s="30"/>
      <c r="N2" s="30"/>
      <c r="O2" s="30"/>
      <c r="P2" s="30"/>
    </row>
    <row r="3" spans="1:19" ht="23" thickBot="1">
      <c r="I3" s="58">
        <f>LastSavedTimeStamp()</f>
        <v>44159.710127314815</v>
      </c>
      <c r="J3" s="59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2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6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400</v>
      </c>
      <c r="I114" s="17">
        <f t="shared" si="18"/>
        <v>200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6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/>
      <c r="I115" s="17">
        <f t="shared" si="18"/>
        <v>600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/>
      <c r="I116" s="17">
        <f t="shared" si="18"/>
        <v>600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6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500</v>
      </c>
      <c r="I117" s="17">
        <f t="shared" si="18"/>
        <v>100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/>
      <c r="B120" s="16"/>
      <c r="C120" s="17"/>
      <c r="D120" s="17"/>
      <c r="E120" s="17"/>
      <c r="F120" s="17"/>
      <c r="G120" s="17">
        <f t="shared" si="17"/>
        <v>0</v>
      </c>
      <c r="H120" s="17"/>
      <c r="I120" s="17">
        <f t="shared" si="18"/>
        <v>0</v>
      </c>
      <c r="J120" s="18"/>
      <c r="K12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44154.547951388886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3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2" t="s">
        <v>233</v>
      </c>
      <c r="B1" s="63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2020-11-26T23:22:10Z</dcterms:modified>
</cp:coreProperties>
</file>