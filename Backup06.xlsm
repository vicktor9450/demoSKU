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4C358FD8-7381-8540-931B-3F475A29CC5B}" xr6:coauthVersionLast="45" xr6:coauthVersionMax="45" xr10:uidLastSave="{00000000-0000-0000-0000-000000000000}"/>
  <bookViews>
    <workbookView xWindow="12800" yWindow="7200" windowWidth="25600" windowHeight="14400" activeTab="3" xr2:uid="{00000000-000D-0000-FFFF-FFFF00000000}"/>
  </bookViews>
  <sheets>
    <sheet name="PaperSummary" sheetId="177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8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2" i="2" l="1"/>
  <c r="I72" i="2" s="1"/>
  <c r="G73" i="2"/>
  <c r="I73" i="2"/>
  <c r="K73" i="2"/>
  <c r="H6" i="2"/>
  <c r="K72" i="2"/>
  <c r="G71" i="2"/>
  <c r="I71" i="2" s="1"/>
  <c r="K71" i="2"/>
  <c r="G70" i="2"/>
  <c r="I70" i="2" s="1"/>
  <c r="K70" i="2"/>
  <c r="G69" i="2"/>
  <c r="I69" i="2" s="1"/>
  <c r="K69" i="2"/>
  <c r="F3" i="3"/>
  <c r="I3" i="2"/>
  <c r="H61" i="2" l="1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<sst xmlns="http://schemas.openxmlformats.org/spreadsheetml/2006/main" count="765" uniqueCount="280">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</sst>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7.975162731484" createdVersion="3" refreshedVersion="6" minRefreshableVersion="3" recordCount="67" xr:uid="{0F2D37BA-A83E-8249-B6AC-86C5EF0967B4}">
  <cacheSource type="worksheet">
    <worksheetSource ref="A5:K72" sheet="Paper"/>
  </cacheSource>
  <cacheFields count="11">
    <cacheField name="Arrival" numFmtId="49">
      <sharedItems count="2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28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31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10"/>
    <x v="1"/>
    <x v="5"/>
  </r>
  <r>
    <x v="21"/>
    <x v="0"/>
    <x v="7"/>
    <x v="1"/>
    <x v="0"/>
    <x v="0"/>
    <x v="0"/>
    <x v="1"/>
    <x v="1"/>
    <x v="0"/>
    <x v="8"/>
  </r>
  <r>
    <x v="21"/>
    <x v="0"/>
    <x v="7"/>
    <x v="1"/>
    <x v="0"/>
    <x v="0"/>
    <x v="0"/>
    <x v="1"/>
    <x v="1"/>
    <x v="0"/>
    <x v="8"/>
  </r>
  <r>
    <x v="12"/>
    <x v="0"/>
    <x v="0"/>
    <x v="1"/>
    <x v="0"/>
    <x v="0"/>
    <x v="0"/>
    <x v="9"/>
    <x v="1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91AA9-3200-6F41-BF36-E39045767671}" name="PaperPivotTable" cacheId="18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2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6"/>
        <item x="14"/>
        <item x="0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0"/>
        <item x="17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3" headerRowDxfId="39" dataDxfId="38" totalsRowDxfId="37">
  <autoFilter ref="A5:K7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00DE7-93D2-7149-B1B1-90E9DE561497}"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</row>
    <row r="3" spans="2:23">
      <c r="B3" s="35"/>
      <c r="C3" s="34">
        <v>40</v>
      </c>
      <c r="D3" s="34">
        <v>90</v>
      </c>
      <c r="E3" s="34">
        <v>100</v>
      </c>
      <c r="F3" s="34">
        <v>115</v>
      </c>
      <c r="G3" s="34">
        <v>120</v>
      </c>
      <c r="H3" s="38">
        <v>125</v>
      </c>
      <c r="I3" s="39"/>
      <c r="J3" s="34">
        <v>130</v>
      </c>
      <c r="K3" s="34">
        <v>135</v>
      </c>
      <c r="L3" s="34">
        <v>140</v>
      </c>
      <c r="M3" s="34">
        <v>150</v>
      </c>
      <c r="N3" s="38">
        <v>155</v>
      </c>
      <c r="O3" s="39"/>
      <c r="P3" s="34">
        <v>160</v>
      </c>
      <c r="Q3" s="34">
        <v>165</v>
      </c>
      <c r="R3" s="34">
        <v>175</v>
      </c>
      <c r="S3" s="38">
        <v>185</v>
      </c>
      <c r="T3" s="39"/>
      <c r="U3" s="38">
        <v>205</v>
      </c>
      <c r="V3" s="39"/>
      <c r="W3" s="34">
        <v>215</v>
      </c>
    </row>
    <row r="4" spans="2:23">
      <c r="B4" s="7" t="s">
        <v>0</v>
      </c>
      <c r="C4" s="34" t="s">
        <v>265</v>
      </c>
      <c r="D4" s="34" t="s">
        <v>265</v>
      </c>
      <c r="E4" s="34" t="s">
        <v>265</v>
      </c>
      <c r="F4" s="34" t="s">
        <v>265</v>
      </c>
      <c r="G4" s="34" t="s">
        <v>265</v>
      </c>
      <c r="H4" s="34" t="s">
        <v>276</v>
      </c>
      <c r="I4" s="34" t="s">
        <v>265</v>
      </c>
      <c r="J4" s="34" t="s">
        <v>265</v>
      </c>
      <c r="K4" s="34" t="s">
        <v>265</v>
      </c>
      <c r="L4" s="34" t="s">
        <v>265</v>
      </c>
      <c r="M4" s="34" t="s">
        <v>265</v>
      </c>
      <c r="N4" s="34" t="s">
        <v>276</v>
      </c>
      <c r="O4" s="34" t="s">
        <v>265</v>
      </c>
      <c r="P4" s="34" t="s">
        <v>265</v>
      </c>
      <c r="Q4" s="34" t="s">
        <v>265</v>
      </c>
      <c r="R4" s="34" t="s">
        <v>265</v>
      </c>
      <c r="S4" s="34" t="s">
        <v>276</v>
      </c>
      <c r="T4" s="34" t="s">
        <v>265</v>
      </c>
      <c r="U4" s="34" t="s">
        <v>276</v>
      </c>
      <c r="V4" s="34" t="s">
        <v>265</v>
      </c>
      <c r="W4" s="34" t="s">
        <v>265</v>
      </c>
    </row>
    <row r="5" spans="2:23">
      <c r="B5" s="5" t="s">
        <v>231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266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268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269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267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233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234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261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3010</v>
      </c>
      <c r="R14" s="6"/>
      <c r="S14" s="6">
        <v>917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229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232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3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262</v>
      </c>
      <c r="I2" s="42" t="s">
        <v>239</v>
      </c>
      <c r="J2" s="43"/>
      <c r="M2" s="30"/>
      <c r="N2" s="30"/>
      <c r="O2" s="30"/>
      <c r="P2" s="30"/>
    </row>
    <row r="3" spans="1:19" ht="23" thickBot="1">
      <c r="I3" s="40">
        <f>LastSavedTimeStamp()</f>
        <v>44067.971226851849</v>
      </c>
      <c r="J3" s="41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259</v>
      </c>
      <c r="B5" s="11" t="s">
        <v>0</v>
      </c>
      <c r="C5" s="13" t="s">
        <v>198</v>
      </c>
      <c r="D5" s="13" t="s">
        <v>264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260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261</v>
      </c>
      <c r="C6" s="17">
        <v>185</v>
      </c>
      <c r="D6" s="18" t="s">
        <v>276</v>
      </c>
      <c r="E6" s="17">
        <v>600</v>
      </c>
      <c r="F6" s="17">
        <v>1</v>
      </c>
      <c r="G6" s="17">
        <f t="shared" ref="G6:G29" si="0">F6*E6</f>
        <v>600</v>
      </c>
      <c r="H6" s="17">
        <f>45+118+120</f>
        <v>283</v>
      </c>
      <c r="I6" s="17">
        <f t="shared" ref="I6:I66" si="1">G6-H6</f>
        <v>317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261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261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261</v>
      </c>
      <c r="C9" s="17">
        <v>185</v>
      </c>
      <c r="D9" s="18" t="s">
        <v>276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266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261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261</v>
      </c>
      <c r="C12" s="17">
        <v>155</v>
      </c>
      <c r="D12" s="18" t="s">
        <v>276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261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261</v>
      </c>
      <c r="C15" s="17">
        <v>125</v>
      </c>
      <c r="D15" s="18" t="s">
        <v>276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261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261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/>
      <c r="I17" s="17">
        <f t="shared" si="1"/>
        <v>600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261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261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266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261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6" t="s">
        <v>261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261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6" t="s">
        <v>261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261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300</v>
      </c>
      <c r="I25" s="17">
        <f t="shared" si="1"/>
        <v>300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266</v>
      </c>
      <c r="C26" s="17">
        <v>125</v>
      </c>
      <c r="D26" s="17" t="s">
        <v>276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261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261</v>
      </c>
      <c r="C28" s="17">
        <v>125</v>
      </c>
      <c r="D28" s="17" t="s">
        <v>276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261</v>
      </c>
      <c r="C29" s="17">
        <v>125</v>
      </c>
      <c r="D29" s="17" t="s">
        <v>276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6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6" t="s">
        <v>261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590</v>
      </c>
      <c r="I31" s="17">
        <f t="shared" si="1"/>
        <v>10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261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261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267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261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266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266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266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266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270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261</v>
      </c>
      <c r="C48" s="17">
        <v>205</v>
      </c>
      <c r="D48" s="17" t="s">
        <v>276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261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233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268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268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261</v>
      </c>
      <c r="C54" s="17">
        <v>125</v>
      </c>
      <c r="D54" s="17" t="s">
        <v>276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234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233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271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271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269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261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261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272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261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219</v>
      </c>
      <c r="B64" s="21" t="s">
        <v>230</v>
      </c>
      <c r="C64" s="17">
        <v>130</v>
      </c>
      <c r="D64" s="18"/>
      <c r="E64" s="17">
        <v>600</v>
      </c>
      <c r="F64" s="17">
        <v>1</v>
      </c>
      <c r="G64" s="17">
        <f t="shared" si="2"/>
        <v>600</v>
      </c>
      <c r="H64" s="17">
        <v>590</v>
      </c>
      <c r="I64" s="17">
        <f t="shared" si="1"/>
        <v>10</v>
      </c>
      <c r="J64" s="18"/>
      <c r="K64" s="20" t="str">
        <f>CONCATENATE(Table2[[#This Row],[Specs]],Table2[[#This Row],[Width]],Table2[[#This Row],[Slitting]])</f>
        <v>ヤート130</v>
      </c>
    </row>
    <row r="65" spans="1:11">
      <c r="A65" s="15" t="s">
        <v>258</v>
      </c>
      <c r="B65" s="18" t="s">
        <v>261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/>
      <c r="I65" s="17">
        <f t="shared" si="1"/>
        <v>600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258</v>
      </c>
      <c r="B66" s="18" t="s">
        <v>261</v>
      </c>
      <c r="C66" s="17">
        <v>165</v>
      </c>
      <c r="D66" s="18"/>
      <c r="E66" s="17">
        <v>600</v>
      </c>
      <c r="F66" s="17">
        <v>1</v>
      </c>
      <c r="G66" s="17">
        <f t="shared" si="2"/>
        <v>600</v>
      </c>
      <c r="H66" s="17"/>
      <c r="I66" s="17">
        <f t="shared" si="1"/>
        <v>600</v>
      </c>
      <c r="J66" s="18"/>
      <c r="K66" s="20" t="str">
        <f>CONCATENATE(Table2[[#This Row],[Specs]],Table2[[#This Row],[Width]],Table2[[#This Row],[Slitting]])</f>
        <v>y ユポ80 MDN 8GB165</v>
      </c>
    </row>
    <row r="67" spans="1:11">
      <c r="A67" s="15" t="s">
        <v>274</v>
      </c>
      <c r="B67" s="16" t="s">
        <v>261</v>
      </c>
      <c r="C67" s="17">
        <v>155</v>
      </c>
      <c r="D67" s="17"/>
      <c r="E67" s="17">
        <v>600</v>
      </c>
      <c r="F67" s="17">
        <v>1</v>
      </c>
      <c r="G67" s="17">
        <f t="shared" ref="G67:G73" si="8">F67*E67</f>
        <v>600</v>
      </c>
      <c r="H67" s="17">
        <v>220</v>
      </c>
      <c r="I67" s="17">
        <f t="shared" ref="I67:I73" si="9">G67-H67</f>
        <v>380</v>
      </c>
      <c r="J67" s="18" t="s">
        <v>215</v>
      </c>
      <c r="K67" s="20" t="str">
        <f>CONCATENATE(Table2[[#This Row],[Specs]],Table2[[#This Row],[Width]],Table2[[#This Row],[Slitting]])</f>
        <v>y ユポ80 MDN 8GB155</v>
      </c>
    </row>
    <row r="68" spans="1:11">
      <c r="A68" s="15" t="s">
        <v>274</v>
      </c>
      <c r="B68" s="18" t="s">
        <v>261</v>
      </c>
      <c r="C68" s="17">
        <v>185</v>
      </c>
      <c r="D68" s="17"/>
      <c r="E68" s="17">
        <v>600</v>
      </c>
      <c r="F68" s="17">
        <v>1</v>
      </c>
      <c r="G68" s="17">
        <f t="shared" si="8"/>
        <v>600</v>
      </c>
      <c r="H68" s="17"/>
      <c r="I68" s="17">
        <f t="shared" si="9"/>
        <v>600</v>
      </c>
      <c r="J68" s="18" t="s">
        <v>215</v>
      </c>
      <c r="K68" s="20" t="str">
        <f>CONCATENATE(Table2[[#This Row],[Specs]],Table2[[#This Row],[Width]],Table2[[#This Row],[Slitting]])</f>
        <v>y ユポ80 MDN 8GB185</v>
      </c>
    </row>
    <row r="69" spans="1:11">
      <c r="A69" s="15" t="s">
        <v>197</v>
      </c>
      <c r="B69" s="37" t="s">
        <v>261</v>
      </c>
      <c r="C69" s="17">
        <v>155</v>
      </c>
      <c r="D69" s="17" t="s">
        <v>276</v>
      </c>
      <c r="E69" s="17">
        <v>600</v>
      </c>
      <c r="F69" s="17">
        <v>1</v>
      </c>
      <c r="G69" s="17">
        <f t="shared" si="8"/>
        <v>600</v>
      </c>
      <c r="H69" s="17">
        <v>500</v>
      </c>
      <c r="I69" s="17">
        <f t="shared" si="9"/>
        <v>100</v>
      </c>
      <c r="J69" s="18" t="s">
        <v>215</v>
      </c>
      <c r="K69" s="20" t="str">
        <f>CONCATENATE(Table2[[#This Row],[Specs]],Table2[[#This Row],[Width]],Table2[[#This Row],[Slitting]])</f>
        <v>y ユポ80 MDN 8GB155i 一本刃</v>
      </c>
    </row>
    <row r="70" spans="1:11">
      <c r="A70" s="15" t="s">
        <v>277</v>
      </c>
      <c r="B70" s="37" t="s">
        <v>261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/>
      <c r="I70" s="17">
        <f t="shared" si="9"/>
        <v>600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277</v>
      </c>
      <c r="B71" s="37" t="s">
        <v>261</v>
      </c>
      <c r="C71" s="17">
        <v>165</v>
      </c>
      <c r="D71" s="17"/>
      <c r="E71" s="17">
        <v>600</v>
      </c>
      <c r="F71" s="17">
        <v>1</v>
      </c>
      <c r="G71" s="17">
        <f t="shared" si="8"/>
        <v>600</v>
      </c>
      <c r="H71" s="17"/>
      <c r="I71" s="17">
        <f t="shared" si="9"/>
        <v>600</v>
      </c>
      <c r="J71" s="18"/>
      <c r="K71" s="20" t="str">
        <f>CONCATENATE(Table2[[#This Row],[Specs]],Table2[[#This Row],[Width]],Table2[[#This Row],[Slitting]])</f>
        <v>y ユポ80 MDN 8GB165</v>
      </c>
    </row>
    <row r="72" spans="1:11">
      <c r="A72" s="15" t="s">
        <v>197</v>
      </c>
      <c r="B72" s="37" t="s">
        <v>261</v>
      </c>
      <c r="C72" s="17">
        <v>185</v>
      </c>
      <c r="D72" s="17"/>
      <c r="E72" s="17">
        <v>600</v>
      </c>
      <c r="F72" s="17">
        <v>1</v>
      </c>
      <c r="G72" s="17">
        <f t="shared" si="8"/>
        <v>600</v>
      </c>
      <c r="H72" s="17">
        <v>500</v>
      </c>
      <c r="I72" s="17">
        <f t="shared" si="9"/>
        <v>100</v>
      </c>
      <c r="J72" s="18"/>
      <c r="K72" s="20" t="str">
        <f>CONCATENATE(Table2[[#This Row],[Specs]],Table2[[#This Row],[Width]],Table2[[#This Row],[Slitting]])</f>
        <v>y ユポ80 MDN 8GB185</v>
      </c>
    </row>
    <row r="73" spans="1:11">
      <c r="A73" s="15"/>
      <c r="B73" s="16"/>
      <c r="C73" s="17"/>
      <c r="D73" s="17"/>
      <c r="E73" s="17"/>
      <c r="F73" s="17"/>
      <c r="G73" s="17">
        <f t="shared" si="8"/>
        <v>0</v>
      </c>
      <c r="H73" s="17"/>
      <c r="I73" s="17">
        <f t="shared" si="9"/>
        <v>0</v>
      </c>
      <c r="J73" s="18"/>
      <c r="K7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263</v>
      </c>
      <c r="H2" s="22"/>
      <c r="I2" s="14"/>
    </row>
    <row r="3" spans="1:9">
      <c r="A3" s="22"/>
      <c r="B3" s="22"/>
      <c r="C3" s="22"/>
      <c r="D3" s="22"/>
      <c r="E3" s="22"/>
      <c r="F3" s="36">
        <f>LastSavedTimeStamp()</f>
        <v>44067.971226851849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273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5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241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252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247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>
        <v>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240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244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241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242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243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245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246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248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249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250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251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278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D3" sqref="D3"/>
    </sheetView>
  </sheetViews>
  <sheetFormatPr baseColWidth="10" defaultColWidth="8.69921875" defaultRowHeight="22"/>
  <cols>
    <col min="1" max="1" width="10.8984375" style="55" bestFit="1" customWidth="1"/>
    <col min="2" max="2" width="42.3984375" style="52" customWidth="1"/>
    <col min="3" max="3" width="45.09765625" style="53" customWidth="1"/>
    <col min="4" max="4" width="27.69921875" style="54" customWidth="1"/>
    <col min="5" max="5" width="42.5" style="55" bestFit="1" customWidth="1"/>
    <col min="6" max="6" width="17.69921875" style="54" customWidth="1"/>
    <col min="7" max="16384" width="8.69921875" style="50"/>
  </cols>
  <sheetData>
    <row r="1" spans="1:6" ht="26" thickBot="1">
      <c r="A1" s="44" t="s">
        <v>236</v>
      </c>
      <c r="B1" s="45"/>
      <c r="C1" s="46" t="s">
        <v>254</v>
      </c>
      <c r="D1" s="47"/>
      <c r="E1" s="48" t="s">
        <v>256</v>
      </c>
      <c r="F1" s="49"/>
    </row>
    <row r="2" spans="1:6" ht="23">
      <c r="A2" s="51">
        <v>44061</v>
      </c>
      <c r="B2" s="52" t="s">
        <v>235</v>
      </c>
      <c r="C2" s="53" t="s">
        <v>255</v>
      </c>
      <c r="D2" s="54" t="s">
        <v>238</v>
      </c>
      <c r="E2" s="55" t="s">
        <v>257</v>
      </c>
    </row>
    <row r="3" spans="1:6" ht="46">
      <c r="A3" s="51">
        <v>44062</v>
      </c>
      <c r="B3" s="52" t="s">
        <v>253</v>
      </c>
      <c r="C3" s="53" t="s">
        <v>279</v>
      </c>
      <c r="D3" s="54" t="s">
        <v>238</v>
      </c>
    </row>
    <row r="4" spans="1:6" ht="46">
      <c r="A4" s="51">
        <v>44063</v>
      </c>
      <c r="B4" s="53" t="s">
        <v>237</v>
      </c>
    </row>
    <row r="5" spans="1:6" ht="46">
      <c r="A5" s="51">
        <v>44064</v>
      </c>
      <c r="B5" s="52" t="s">
        <v>275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2020-08-24T14:27:16Z</dcterms:modified>
</cp:coreProperties>
</file>