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22350E03-4FCE-3243-A1B8-04949678AFA3}" xr6:coauthVersionLast="45" xr6:coauthVersionMax="45" xr10:uidLastSave="{00000000-0000-0000-0000-000000000000}"/>
  <bookViews>
    <workbookView xWindow="0" yWindow="460" windowWidth="25600" windowHeight="12340" activeTab="2" xr2:uid="{00000000-000D-0000-FFFF-FFFF00000000}"/>
  </bookViews>
  <sheets>
    <sheet name="PaperSummary" sheetId="25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Paper!$A$5:$J$130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<sst xmlns="http://schemas.openxmlformats.org/spreadsheetml/2006/main" count="898" uniqueCount="311">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</sst>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0.410641550923" createdVersion="3" refreshedVersion="6" minRefreshableVersion="3" recordCount="124" xr:uid="{D6955DBB-1EB9-4A48-91BC-BFC95AA2463C}">
  <cacheSource type="worksheet">
    <worksheetSource ref="A5:K129" sheet="Paper"/>
  </cacheSource>
  <cacheFields count="11">
    <cacheField name="Arrival" numFmtId="49">
      <sharedItems count="4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8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  <n v="35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  <n v="2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2"/>
    <x v="5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17"/>
    <x v="19"/>
    <x v="0"/>
    <x v="9"/>
  </r>
  <r>
    <x v="46"/>
    <x v="13"/>
    <x v="18"/>
    <x v="1"/>
    <x v="9"/>
    <x v="0"/>
    <x v="10"/>
    <x v="1"/>
    <x v="20"/>
    <x v="0"/>
    <x v="34"/>
  </r>
  <r>
    <x v="47"/>
    <x v="0"/>
    <x v="16"/>
    <x v="1"/>
    <x v="0"/>
    <x v="0"/>
    <x v="0"/>
    <x v="1"/>
    <x v="1"/>
    <x v="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94A430-CCC3-9446-986D-99C77748D0A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48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47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6"/>
        <item x="16"/>
        <item x="5"/>
        <item x="14"/>
        <item x="15"/>
        <item x="7"/>
        <item x="1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1">
        <item x="0"/>
        <item x="12"/>
        <item x="7"/>
        <item x="6"/>
        <item x="14"/>
        <item x="10"/>
        <item x="13"/>
        <item x="2"/>
        <item x="9"/>
        <item x="8"/>
        <item x="5"/>
        <item x="19"/>
        <item x="15"/>
        <item x="4"/>
        <item x="17"/>
        <item x="11"/>
        <item x="16"/>
        <item x="18"/>
        <item x="1"/>
        <item x="20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0" headerRowDxfId="39" dataDxfId="38" totalsRowDxfId="37">
  <autoFilter ref="A5:K13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F6566-CD18-1245-B834-473248A2074C}">
  <dimension ref="B1:Y18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</row>
    <row r="3" spans="2:25">
      <c r="B3" s="56"/>
      <c r="C3" s="55">
        <v>40</v>
      </c>
      <c r="D3" s="55">
        <v>90</v>
      </c>
      <c r="E3" s="55">
        <v>100</v>
      </c>
      <c r="F3" s="55">
        <v>115</v>
      </c>
      <c r="G3" s="55">
        <v>120</v>
      </c>
      <c r="H3" s="57">
        <v>125</v>
      </c>
      <c r="I3" s="58"/>
      <c r="J3" s="55">
        <v>130</v>
      </c>
      <c r="K3" s="55">
        <v>135</v>
      </c>
      <c r="L3" s="55">
        <v>140</v>
      </c>
      <c r="M3" s="55">
        <v>150</v>
      </c>
      <c r="N3" s="57">
        <v>155</v>
      </c>
      <c r="O3" s="58"/>
      <c r="P3" s="55">
        <v>160</v>
      </c>
      <c r="Q3" s="55">
        <v>165</v>
      </c>
      <c r="R3" s="55">
        <v>175</v>
      </c>
      <c r="S3" s="57">
        <v>185</v>
      </c>
      <c r="T3" s="58"/>
      <c r="U3" s="57">
        <v>205</v>
      </c>
      <c r="V3" s="58"/>
      <c r="W3" s="55">
        <v>210</v>
      </c>
      <c r="X3" s="55">
        <v>215</v>
      </c>
      <c r="Y3" s="55">
        <v>220</v>
      </c>
    </row>
    <row r="4" spans="2:25">
      <c r="B4" s="7" t="s">
        <v>0</v>
      </c>
      <c r="C4" s="55" t="s">
        <v>257</v>
      </c>
      <c r="D4" s="55" t="s">
        <v>257</v>
      </c>
      <c r="E4" s="55" t="s">
        <v>257</v>
      </c>
      <c r="F4" s="55" t="s">
        <v>257</v>
      </c>
      <c r="G4" s="55" t="s">
        <v>257</v>
      </c>
      <c r="H4" s="55" t="s">
        <v>267</v>
      </c>
      <c r="I4" s="55" t="s">
        <v>257</v>
      </c>
      <c r="J4" s="55" t="s">
        <v>257</v>
      </c>
      <c r="K4" s="55" t="s">
        <v>257</v>
      </c>
      <c r="L4" s="55" t="s">
        <v>257</v>
      </c>
      <c r="M4" s="55" t="s">
        <v>257</v>
      </c>
      <c r="N4" s="55" t="s">
        <v>267</v>
      </c>
      <c r="O4" s="55" t="s">
        <v>257</v>
      </c>
      <c r="P4" s="55" t="s">
        <v>257</v>
      </c>
      <c r="Q4" s="55" t="s">
        <v>257</v>
      </c>
      <c r="R4" s="55" t="s">
        <v>257</v>
      </c>
      <c r="S4" s="55" t="s">
        <v>267</v>
      </c>
      <c r="T4" s="55" t="s">
        <v>257</v>
      </c>
      <c r="U4" s="55" t="s">
        <v>267</v>
      </c>
      <c r="V4" s="55" t="s">
        <v>257</v>
      </c>
      <c r="W4" s="55" t="s">
        <v>257</v>
      </c>
      <c r="X4" s="55" t="s">
        <v>257</v>
      </c>
      <c r="Y4" s="55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308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650</v>
      </c>
      <c r="G17" s="6"/>
      <c r="H17" s="6">
        <v>1300</v>
      </c>
      <c r="I17" s="6">
        <v>650</v>
      </c>
      <c r="J17" s="6"/>
      <c r="K17" s="6"/>
      <c r="L17" s="6">
        <v>600</v>
      </c>
      <c r="M17" s="6"/>
      <c r="N17" s="6">
        <v>600</v>
      </c>
      <c r="O17" s="6">
        <v>250</v>
      </c>
      <c r="P17" s="6"/>
      <c r="Q17" s="6">
        <v>800</v>
      </c>
      <c r="R17" s="6"/>
      <c r="S17" s="6">
        <v>700</v>
      </c>
      <c r="T17" s="6">
        <v>700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0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6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400</v>
      </c>
      <c r="I123" s="17">
        <f t="shared" si="20"/>
        <v>200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/>
      <c r="I124" s="17">
        <f t="shared" si="20"/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308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307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307</v>
      </c>
      <c r="B128" s="16" t="s">
        <v>309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 t="s">
        <v>310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>F129*E129</f>
        <v>600</v>
      </c>
      <c r="H129" s="17"/>
      <c r="I129" s="17">
        <f>G129-H129</f>
        <v>600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>
      <c r="A130" s="15"/>
      <c r="B130" s="16"/>
      <c r="C130" s="17"/>
      <c r="D130" s="17"/>
      <c r="E130" s="17"/>
      <c r="F130" s="17"/>
      <c r="G130" s="17">
        <f>F130*E130</f>
        <v>0</v>
      </c>
      <c r="H130" s="17"/>
      <c r="I130" s="17">
        <f>G130-H130</f>
        <v>0</v>
      </c>
      <c r="J130" s="18"/>
      <c r="K13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abSelected="1" topLeftCell="B1" zoomScaleNormal="100" workbookViewId="0">
      <pane ySplit="5" topLeftCell="A212" activePane="bottomLeft" state="frozen"/>
      <selection pane="bottomLeft" activeCell="C219" sqref="C219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44180.45008101852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53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54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 t="s">
        <v>215</v>
      </c>
      <c r="C217" s="28">
        <v>223</v>
      </c>
      <c r="D217" s="28" t="s">
        <v>55</v>
      </c>
      <c r="E217" s="28">
        <v>10</v>
      </c>
      <c r="F217" s="23">
        <v>44176</v>
      </c>
      <c r="G217" s="28"/>
      <c r="H217" s="29" t="str">
        <f>CONCATENATE(Table1[[#This Row],[Order Code]],Table1[[#This Row],[NAME]])</f>
        <v>223D-181 青</v>
      </c>
    </row>
    <row r="218" spans="1:8" ht="20">
      <c r="A218" s="27"/>
      <c r="B218" s="28" t="s">
        <v>215</v>
      </c>
      <c r="C218" s="28">
        <v>223</v>
      </c>
      <c r="D218" s="28" t="s">
        <v>55</v>
      </c>
      <c r="E218" s="28">
        <v>10</v>
      </c>
      <c r="F218" s="23">
        <v>44176</v>
      </c>
      <c r="G218" s="28"/>
      <c r="H218" s="29" t="str">
        <f>CONCATENATE(Table1[[#This Row],[Order Code]],Table1[[#This Row],[NAME]])</f>
        <v>223D-181 青</v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2020-12-15T02:07:28Z</dcterms:modified>
</cp:coreProperties>
</file>