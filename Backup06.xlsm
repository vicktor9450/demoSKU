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42386A75-7098-BF47-8B71-F9D0198637CB}" xr6:coauthVersionLast="45" xr6:coauthVersionMax="45" xr10:uidLastSave="{00000000-0000-0000-0000-000000000000}"/>
  <bookViews>
    <workbookView xWindow="0" yWindow="500" windowWidth="25600" windowHeight="12700" xr2:uid="{00000000-000D-0000-FFFF-FFFF00000000}"/>
  </bookViews>
  <sheets>
    <sheet name="PaperSummary" sheetId="299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Paper!$A$5:$J$151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6" r:id="rId8"/>
  </pivotCaches>
</workbook>
</file>

<file path=xl/calcChain.xml><?xml version="1.0" encoding="utf-8"?>
<calcChain xmlns="http://schemas.openxmlformats.org/spreadsheetml/2006/main">
  <c r="G151" i="2" l="1"/>
  <c r="I151" i="2" s="1"/>
  <c r="K151" i="2"/>
  <c r="G150" i="2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B1" i="299"/>
  <c r="G143" i="2" l="1"/>
  <c r="I143" i="2" s="1"/>
  <c r="K143" i="2"/>
  <c r="F3" i="3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<sst xmlns="http://schemas.openxmlformats.org/spreadsheetml/2006/main" count="951" uniqueCount="326">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</sst>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28.408598495371" createdVersion="3" refreshedVersion="6" minRefreshableVersion="3" recordCount="145" xr:uid="{4BF9E910-A1A7-D049-80C2-3DDC9B43B009}">
  <cacheSource type="worksheet">
    <worksheetSource ref="A5:K150" sheet="Paper"/>
  </cacheSource>
  <cacheFields count="11">
    <cacheField name="Arrival" numFmtId="49">
      <sharedItems count="5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1"/>
    <x v="1"/>
    <x v="0"/>
    <x v="12"/>
  </r>
  <r>
    <x v="55"/>
    <x v="0"/>
    <x v="7"/>
    <x v="1"/>
    <x v="0"/>
    <x v="0"/>
    <x v="0"/>
    <x v="1"/>
    <x v="1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"/>
    <x v="1"/>
    <x v="0"/>
    <x v="8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1"/>
    <x v="1"/>
    <x v="0"/>
    <x v="12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B6D14-03CF-5C4C-B4A3-8B0267D9DF00}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7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55"/>
        <item x="54"/>
        <item x="56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7"/>
        <item x="15"/>
        <item x="6"/>
        <item x="17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1" headerRowDxfId="39" dataDxfId="38" totalsRowDxfId="37">
  <autoFilter ref="A5:K151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CC5D6-9E34-F34F-AFDD-E379DE2C4FEC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44228.408564814818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1600</v>
      </c>
      <c r="F11" s="6"/>
      <c r="G11" s="6"/>
      <c r="H11" s="6"/>
      <c r="I11" s="6"/>
      <c r="J11" s="6">
        <v>30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800</v>
      </c>
      <c r="J17" s="6"/>
      <c r="K17" s="6"/>
      <c r="L17" s="6">
        <v>1800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</v>
      </c>
      <c r="T17" s="6">
        <v>200</v>
      </c>
      <c r="U17" s="6">
        <v>20</v>
      </c>
      <c r="V17" s="6">
        <v>650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1"/>
  <sheetViews>
    <sheetView zoomScale="150" zoomScaleNormal="150" workbookViewId="0">
      <pane ySplit="5" topLeftCell="A143" activePane="bottomLeft" state="frozen"/>
      <selection pane="bottomLeft" activeCell="A151" sqref="A151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550</v>
      </c>
      <c r="I103" s="17">
        <f t="shared" si="14"/>
        <v>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>
        <v>400</v>
      </c>
      <c r="I121" s="17">
        <f t="shared" ref="I121:I127" si="20">G121-H121</f>
        <v>200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>
        <v>400</v>
      </c>
      <c r="I134" s="17">
        <f t="shared" ref="I134:I140" si="24">G134-H134</f>
        <v>200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>
        <v>570</v>
      </c>
      <c r="I140" s="17">
        <f t="shared" si="24"/>
        <v>30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>F141*E141</f>
        <v>600</v>
      </c>
      <c r="H141" s="17">
        <v>600</v>
      </c>
      <c r="I141" s="17">
        <f>G141-H141</f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>F142*E142</f>
        <v>600</v>
      </c>
      <c r="H142" s="17">
        <v>600</v>
      </c>
      <c r="I142" s="17">
        <f>G142-H142</f>
        <v>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 t="s">
        <v>323</v>
      </c>
      <c r="B143" s="16" t="s">
        <v>252</v>
      </c>
      <c r="C143" s="17">
        <v>140</v>
      </c>
      <c r="D143" s="17"/>
      <c r="E143" s="17">
        <v>600</v>
      </c>
      <c r="F143" s="17">
        <v>1</v>
      </c>
      <c r="G143" s="17">
        <f>F143*E143</f>
        <v>600</v>
      </c>
      <c r="H143" s="17"/>
      <c r="I143" s="17">
        <f>G143-H143</f>
        <v>600</v>
      </c>
      <c r="J143" s="17"/>
      <c r="K143" s="19" t="str">
        <f>CONCATENATE(Table2[[#This Row],[Specs]],Table2[[#This Row],[Width]],Table2[[#This Row],[Slitting]])</f>
        <v>y ユポ80 MDN 8GB140</v>
      </c>
    </row>
    <row r="144" spans="1:13">
      <c r="A144" s="15" t="s">
        <v>324</v>
      </c>
      <c r="B144" s="16" t="s">
        <v>252</v>
      </c>
      <c r="C144" s="17">
        <v>165</v>
      </c>
      <c r="D144" s="17"/>
      <c r="E144" s="17">
        <v>600</v>
      </c>
      <c r="F144" s="17">
        <v>1</v>
      </c>
      <c r="G144" s="17">
        <f>F144*E144</f>
        <v>600</v>
      </c>
      <c r="H144" s="17"/>
      <c r="I144" s="17">
        <f>G144-H144</f>
        <v>600</v>
      </c>
      <c r="J144" s="17"/>
      <c r="K144" s="19" t="str">
        <f>CONCATENATE(Table2[[#This Row],[Specs]],Table2[[#This Row],[Width]],Table2[[#This Row],[Slitting]])</f>
        <v>y ユポ80 MDN 8GB165</v>
      </c>
    </row>
    <row r="145" spans="1:11">
      <c r="A145" s="15" t="s">
        <v>324</v>
      </c>
      <c r="B145" s="16" t="s">
        <v>252</v>
      </c>
      <c r="C145" s="17">
        <v>125</v>
      </c>
      <c r="D145" s="17"/>
      <c r="E145" s="17">
        <v>600</v>
      </c>
      <c r="F145" s="17">
        <v>1</v>
      </c>
      <c r="G145" s="17">
        <f>F145*E145</f>
        <v>600</v>
      </c>
      <c r="H145" s="17"/>
      <c r="I145" s="17">
        <f>G145-H145</f>
        <v>600</v>
      </c>
      <c r="J145" s="17"/>
      <c r="K145" s="19" t="str">
        <f>CONCATENATE(Table2[[#This Row],[Specs]],Table2[[#This Row],[Width]],Table2[[#This Row],[Slitting]])</f>
        <v>y ユポ80 MDN 8GB125</v>
      </c>
    </row>
    <row r="146" spans="1:11">
      <c r="A146" s="15" t="s">
        <v>324</v>
      </c>
      <c r="B146" s="16" t="s">
        <v>252</v>
      </c>
      <c r="C146" s="17">
        <v>165</v>
      </c>
      <c r="D146" s="17"/>
      <c r="E146" s="17">
        <v>600</v>
      </c>
      <c r="F146" s="17">
        <v>1</v>
      </c>
      <c r="G146" s="17">
        <f>F146*E146</f>
        <v>600</v>
      </c>
      <c r="H146" s="17"/>
      <c r="I146" s="17">
        <f>G146-H146</f>
        <v>600</v>
      </c>
      <c r="J146" s="17"/>
      <c r="K146" s="19" t="str">
        <f>CONCATENATE(Table2[[#This Row],[Specs]],Table2[[#This Row],[Width]],Table2[[#This Row],[Slitting]])</f>
        <v>y ユポ80 MDN 8GB165</v>
      </c>
    </row>
    <row r="147" spans="1:11">
      <c r="A147" s="15" t="s">
        <v>325</v>
      </c>
      <c r="B147" s="16" t="s">
        <v>230</v>
      </c>
      <c r="C147" s="17">
        <v>100</v>
      </c>
      <c r="D147" s="17"/>
      <c r="E147" s="17">
        <v>600</v>
      </c>
      <c r="F147" s="17">
        <v>1</v>
      </c>
      <c r="G147" s="17">
        <f>F147*E147</f>
        <v>600</v>
      </c>
      <c r="H147" s="17"/>
      <c r="I147" s="17">
        <f>G147-H147</f>
        <v>600</v>
      </c>
      <c r="J147" s="17"/>
      <c r="K147" s="19" t="str">
        <f>CONCATENATE(Table2[[#This Row],[Specs]],Table2[[#This Row],[Width]],Table2[[#This Row],[Slitting]])</f>
        <v>N 上質&lt;55&gt;ME 7GB100</v>
      </c>
    </row>
    <row r="148" spans="1:11">
      <c r="A148" s="15" t="s">
        <v>325</v>
      </c>
      <c r="B148" s="16" t="s">
        <v>252</v>
      </c>
      <c r="C148" s="17">
        <v>140</v>
      </c>
      <c r="D148" s="17"/>
      <c r="E148" s="17">
        <v>600</v>
      </c>
      <c r="F148" s="17">
        <v>1</v>
      </c>
      <c r="G148" s="17">
        <f>F148*E148</f>
        <v>600</v>
      </c>
      <c r="H148" s="17"/>
      <c r="I148" s="17">
        <f>G148-H148</f>
        <v>600</v>
      </c>
      <c r="J148" s="17"/>
      <c r="K148" s="19" t="str">
        <f>CONCATENATE(Table2[[#This Row],[Specs]],Table2[[#This Row],[Width]],Table2[[#This Row],[Slitting]])</f>
        <v>y ユポ80 MDN 8GB140</v>
      </c>
    </row>
    <row r="149" spans="1:11">
      <c r="A149" s="15" t="s">
        <v>325</v>
      </c>
      <c r="B149" s="16" t="s">
        <v>230</v>
      </c>
      <c r="C149" s="17">
        <v>100</v>
      </c>
      <c r="D149" s="17"/>
      <c r="E149" s="17">
        <v>600</v>
      </c>
      <c r="F149" s="17">
        <v>1</v>
      </c>
      <c r="G149" s="17">
        <f>F149*E149</f>
        <v>600</v>
      </c>
      <c r="H149" s="17"/>
      <c r="I149" s="17">
        <f>G149-H149</f>
        <v>600</v>
      </c>
      <c r="J149" s="17"/>
      <c r="K149" s="19" t="str">
        <f>CONCATENATE(Table2[[#This Row],[Specs]],Table2[[#This Row],[Width]],Table2[[#This Row],[Slitting]])</f>
        <v>N 上質&lt;55&gt;ME 7GB100</v>
      </c>
    </row>
    <row r="150" spans="1:11">
      <c r="A150" s="15" t="s">
        <v>325</v>
      </c>
      <c r="B150" s="16" t="s">
        <v>252</v>
      </c>
      <c r="C150" s="17">
        <v>140</v>
      </c>
      <c r="D150" s="17"/>
      <c r="E150" s="17">
        <v>600</v>
      </c>
      <c r="F150" s="17">
        <v>1</v>
      </c>
      <c r="G150" s="17">
        <f>F150*E150</f>
        <v>600</v>
      </c>
      <c r="H150" s="17"/>
      <c r="I150" s="17">
        <f>G150-H150</f>
        <v>600</v>
      </c>
      <c r="J150" s="17"/>
      <c r="K150" s="19" t="str">
        <f>CONCATENATE(Table2[[#This Row],[Specs]],Table2[[#This Row],[Width]],Table2[[#This Row],[Slitting]])</f>
        <v>y ユポ80 MDN 8GB140</v>
      </c>
    </row>
    <row r="151" spans="1:11">
      <c r="A151" s="15"/>
      <c r="B151" s="16"/>
      <c r="C151" s="17"/>
      <c r="D151" s="17"/>
      <c r="E151" s="17"/>
      <c r="F151" s="17"/>
      <c r="G151" s="17">
        <f>F151*E151</f>
        <v>0</v>
      </c>
      <c r="H151" s="17"/>
      <c r="I151" s="17">
        <f>G151-H151</f>
        <v>0</v>
      </c>
      <c r="J151" s="17"/>
      <c r="K151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2021-02-01T00:48:30Z</dcterms:modified>
</cp:coreProperties>
</file>