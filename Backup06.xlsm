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F04C006F-1F25-B148-AE1A-C7D03137B020}" xr6:coauthVersionLast="46" xr6:coauthVersionMax="46" xr10:uidLastSave="{00000000-0000-0000-0000-000000000000}"/>
  <bookViews>
    <workbookView xWindow="0" yWindow="500" windowWidth="25600" windowHeight="13900" xr2:uid="{00000000-000D-0000-FFFF-FFFF00000000}"/>
  </bookViews>
  <sheets>
    <sheet name="PaperSummary" sheetId="341" r:id="rId1"/>
    <sheet name="Paper" sheetId="2" r:id="rId2"/>
    <sheet name="INK" sheetId="3" r:id="rId3"/>
    <sheet name="Others" sheetId="265" r:id="rId4"/>
    <sheet name="Change Log" sheetId="109" r:id="rId5"/>
    <sheet name="Storage" sheetId="328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2" hidden="1">INK!$A$5:$G$239</definedName>
    <definedName name="_xlnm._FilterDatabase" localSheetId="1" hidden="1">Paper!$A$5:$J$168</definedName>
    <definedName name="_xlnm._FilterDatabase" localSheetId="7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9"/>
  </pivotCaches>
</workbook>
</file>

<file path=xl/calcChain.xml><?xml version="1.0" encoding="utf-8"?>
<calcChain xmlns="http://schemas.openxmlformats.org/spreadsheetml/2006/main">
  <c r="G168" i="2" l="1"/>
  <c r="I168" i="2" s="1"/>
  <c r="K168" i="2"/>
  <c r="G167" i="2"/>
  <c r="I167" i="2" s="1"/>
  <c r="K167" i="2"/>
  <c r="G166" i="2"/>
  <c r="I166" i="2" s="1"/>
  <c r="K166" i="2"/>
  <c r="G165" i="2"/>
  <c r="I165" i="2" s="1"/>
  <c r="K165" i="2"/>
  <c r="G164" i="2"/>
  <c r="I164" i="2" s="1"/>
  <c r="K164" i="2"/>
  <c r="G163" i="2"/>
  <c r="I163" i="2" s="1"/>
  <c r="K163" i="2"/>
  <c r="G162" i="2"/>
  <c r="I162" i="2" s="1"/>
  <c r="K162" i="2"/>
  <c r="G161" i="2"/>
  <c r="I161" i="2" s="1"/>
  <c r="K161" i="2"/>
  <c r="B1" i="341"/>
  <c r="G160" i="2" l="1"/>
  <c r="I160" i="2" s="1"/>
  <c r="K160" i="2"/>
  <c r="G159" i="2"/>
  <c r="I159" i="2" s="1"/>
  <c r="K159" i="2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<sst xmlns="http://schemas.openxmlformats.org/spreadsheetml/2006/main" count="1109" uniqueCount="377">
  <si>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</si>
  <si>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</si>
  <si>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</si>
  <si>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</si>
  <si>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</si>
  <si>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</si>
  <si>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</si>
  <si>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</si>
  <si>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</si>
  <si>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</si>
  <si>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</si>
  <si>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</si>
  <si>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</si>
  <si>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</si>
  <si>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</si>
  <si>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</si>
  <si>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</si>
  <si>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</si>
  <si>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</si>
  <si>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</si>
  <si>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</si>
  <si>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</si>
  <si>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</si>
  <si>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</si>
  <si>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</si>
  <si>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</si>
  <si>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</si>
  <si>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</si>
  <si>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</si>
  <si>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</si>
  <si>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</si>
  <si>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</si>
  <si>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</si>
  <si>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</si>
  <si>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</si>
  <si>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</si>
  <si>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</si>
  <si>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</si>
  <si>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</si>
  <si>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</si>
  <si>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</si>
  <si>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</si>
  <si>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</si>
  <si>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</si>
  <si>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</si>
  <si>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</si>
  <si>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</si>
  <si>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</si>
  <si>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</si>
  <si>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</si>
  <si>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</si>
  <si>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</si>
  <si>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</si>
  <si>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</si>
  <si>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</si>
  <si>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</si>
  <si>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</si>
  <si>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</si>
  <si>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</si>
  <si>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</si>
  <si>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</si>
  <si>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</si>
  <si>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</si>
  <si>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</si>
  <si>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</si>
  <si>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</si>
  <si>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</si>
  <si>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</si>
  <si>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</si>
  <si>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</si>
  <si>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</si>
  <si>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</si>
  <si>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</si>
  <si>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</si>
  <si>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</si>
  <si>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</si>
  <si>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</si>
  <si>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</si>
  <si>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</si>
  <si>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</si>
  <si>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</si>
  <si>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</si>
  <si>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</si>
  <si>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</si>
  <si>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</si>
  <si>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</si>
  <si>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</si>
  <si>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</si>
  <si>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</si>
  <si>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</si>
  <si>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</si>
  <si>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</si>
  <si>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</si>
  <si>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</si>
  <si>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</si>
  <si>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</si>
  <si>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</si>
  <si>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</si>
  <si>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</si>
  <si>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</si>
  <si>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</si>
  <si>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</si>
  <si>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</si>
  <si>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</si>
  <si>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</si>
  <si>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</si>
  <si>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</si>
  <si>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</si>
  <si>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</si>
  <si>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</si>
  <si>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</si>
  <si>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</si>
  <si>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</si>
  <si>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</si>
  <si>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</si>
  <si>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</si>
  <si>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</si>
  <si>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</si>
  <si>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</si>
  <si>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</si>
  <si>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</si>
  <si>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</si>
  <si>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</si>
  <si>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</si>
  <si>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</si>
  <si>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</si>
  <si>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</si>
  <si>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</si>
  <si>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</si>
  <si>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</si>
  <si>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</si>
  <si>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</si>
  <si>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</si>
  <si>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</si>
  <si>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</si>
  <si>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</si>
  <si>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</si>
  <si>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</si>
  <si>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</si>
  <si>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</si>
  <si>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</si>
  <si>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</si>
  <si>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</si>
  <si>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</si>
  <si>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</si>
  <si>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</si>
  <si>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</si>
  <si>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</si>
  <si>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</si>
  <si>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</si>
  <si>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</si>
  <si>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</si>
  <si>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</si>
  <si>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</si>
  <si>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</si>
  <si>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</si>
  <si>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</si>
  <si>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</si>
  <si>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</si>
  <si>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</si>
  <si>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</si>
  <si>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</si>
  <si>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</si>
  <si>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</si>
  <si>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</si>
  <si>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</si>
  <si>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</si>
  <si>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</si>
  <si>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</si>
  <si>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</si>
  <si>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</si>
  <si>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</si>
  <si>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</si>
  <si>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</si>
  <si>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</si>
  <si>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</si>
  <si>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</si>
  <si>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</si>
  <si>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</si>
  <si>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</si>
  <si>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</si>
  <si>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</si>
  <si>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</si>
  <si>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</si>
  <si>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</si>
  <si>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</si>
  <si>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</si>
  <si>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</si>
  <si>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</si>
  <si>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</si>
  <si>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</si>
  <si>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</si>
  <si>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</si>
  <si>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</si>
  <si>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</si>
  <si>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</si>
  <si>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</si>
  <si>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</si>
  <si>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</si>
  <si>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</si>
  <si>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</si>
  <si>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</si>
  <si>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</si>
  <si>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</si>
  <si>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</si>
  <si>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</si>
  <si>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</si>
  <si>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</si>
  <si>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</si>
  <si>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</si>
  <si>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</si>
  <si>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</si>
  <si>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</si>
  <si>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</si>
  <si>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</si>
  <si>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</si>
  <si>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</si>
  <si>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</si>
  <si>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</si>
  <si>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</si>
  <si>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</si>
  <si>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</si>
  <si>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</si>
  <si>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</si>
  <si>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</si>
  <si>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</si>
  <si>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</si>
  <si>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</si>
  <si>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</si>
  <si>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</si>
  <si>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</si>
  <si>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</si>
  <si>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</si>
  <si>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</si>
  <si>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</si>
  <si>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</si>
  <si>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</si>
  <si>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</si>
  <si>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</si>
  <si>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</si>
  <si>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</si>
  <si>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</si>
  <si>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</si>
  <si>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</si>
  <si>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</si>
  <si>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</si>
  <si>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</si>
  <si>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</si>
  <si>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</si>
  <si>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</si>
  <si>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</si>
  <si>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</si>
  <si>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</si>
  <si>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</si>
  <si>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</si>
  <si>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</si>
  <si>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</si>
  <si>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</si>
  <si>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</si>
  <si>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</si>
  <si>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</si>
  <si>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</si>
  <si>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</si>
  <si>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</si>
  <si>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</si>
  <si>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</si>
  <si>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</si>
  <si>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</si>
  <si>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</si>
  <si>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</si>
  <si>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</si>
  <si>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</si>
  <si>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</si>
  <si>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</si>
  <si>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</si>
  <si>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</si>
  <si>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</si>
  <si>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</si>
  <si>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</si>
  <si>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</si>
  <si>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</si>
  <si>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</si>
  <si>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</si>
  <si>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</si>
  <si>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</si>
  <si>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</si>
  <si>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</si>
  <si>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</si>
  <si>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</si>
  <si>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</si>
  <si>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</si>
  <si>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</si>
  <si>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</si>
  <si>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</si>
  <si>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</si>
  <si>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</si>
  <si>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</si>
  <si>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</si>
  <si>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</si>
  <si>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</si>
  <si>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</si>
  <si>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</si>
  <si>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</si>
  <si>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</si>
  <si>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</si>
  <si>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</si>
  <si>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</si>
  <si>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</si>
  <si>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</si>
  <si>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</si>
  <si>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</si>
  <si>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</si>
  <si>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</si>
  <si>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</si>
  <si>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</si>
  <si>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</si>
  <si>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</si>
  <si>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</si>
  <si>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</si>
  <si>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</si>
  <si>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</si>
  <si>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</si>
  <si>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</si>
  <si>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</si>
  <si>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</si>
  <si>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</si>
  <si>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</si>
  <si>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</si>
  <si>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</si>
  <si>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</si>
  <si>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</si>
  <si>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</si>
  <si>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Adding storage data</t>
  </si>
  <si>
    <t>Item</t>
  </si>
  <si>
    <t>Production Date</t>
  </si>
  <si>
    <t>No. of order last year</t>
  </si>
  <si>
    <t>TECHNO CLEAR N</t>
  </si>
  <si>
    <t>アルカチャレンジ　JX</t>
  </si>
  <si>
    <t>No. of parts</t>
  </si>
  <si>
    <t>Box Name</t>
  </si>
  <si>
    <t>01</t>
  </si>
  <si>
    <t>MU-M750L</t>
  </si>
  <si>
    <t>Size</t>
  </si>
  <si>
    <t>一本</t>
  </si>
  <si>
    <t>エコマックスAN-10</t>
  </si>
  <si>
    <t>ナウディ CL - 2020</t>
  </si>
  <si>
    <t>サンフレンド PR</t>
  </si>
  <si>
    <t>エコマックス KB</t>
  </si>
  <si>
    <t>スカットール</t>
  </si>
  <si>
    <t>エルモアEL-88</t>
  </si>
  <si>
    <t>スムースファミトン</t>
  </si>
  <si>
    <t>ハンドソープ</t>
  </si>
  <si>
    <t>エストラル OB-01</t>
  </si>
  <si>
    <t>リンス剤 RS-100</t>
  </si>
  <si>
    <t>エコティスパウダー</t>
  </si>
  <si>
    <t>アスティオンUP-55</t>
  </si>
  <si>
    <t xml:space="preserve"> 外から見えにくい</t>
  </si>
  <si>
    <t>カイトコイン用洗剤</t>
  </si>
  <si>
    <t>ルピランソフター</t>
  </si>
  <si>
    <t>テクノウォシュ</t>
  </si>
  <si>
    <t>アーネスEC-10</t>
  </si>
  <si>
    <t>A-860</t>
  </si>
  <si>
    <t>サンレックスコンク</t>
  </si>
  <si>
    <t>Price</t>
  </si>
  <si>
    <t>Order No.</t>
  </si>
  <si>
    <t>Order Qty</t>
  </si>
  <si>
    <t>Made Qty.</t>
  </si>
  <si>
    <t>ネオレートPH-150(22kg)</t>
  </si>
  <si>
    <t>2/17/2021</t>
  </si>
  <si>
    <t>サンレックス 3.5</t>
  </si>
  <si>
    <t>1</t>
  </si>
  <si>
    <t>2</t>
  </si>
  <si>
    <t>バリガード4(4x4kg)</t>
  </si>
  <si>
    <t>バリガード4(4kg)</t>
  </si>
  <si>
    <t>2/19/2021</t>
  </si>
  <si>
    <t>R-8169(10kg)</t>
  </si>
  <si>
    <t>185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</si>
</sst>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/d/yyyy\ h:mm\ AM/PM;@"/>
    <numFmt numFmtId="165" formatCode="[$-409]m/d/yy\ h:mm\ AM/PM;@"/>
    <numFmt numFmtId="166" formatCode="yyyy\-mm\-dd;@"/>
    <numFmt numFmtId="167" formatCode="m/d/yy\ h:mm;@"/>
    <numFmt numFmtId="168" formatCode="_(* #,##0_);_(* \(#,##0\);_(* &quot;-&quot;??_);_(@_)"/>
  </numFmts>
  <fonts count="22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  <font>
      <sz val="18"/>
      <color theme="1"/>
      <name val="SF Pro Text Regular"/>
    </font>
    <font>
      <b/>
      <sz val="18"/>
      <color theme="1"/>
      <name val="SF Pro Text Regular"/>
    </font>
    <font>
      <sz val="16"/>
      <color theme="1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19" fillId="0" borderId="0" xfId="0" applyFont="1" applyAlignment="1"/>
    <xf numFmtId="49" fontId="19" fillId="0" borderId="0" xfId="0" applyNumberFormat="1" applyFont="1" applyAlignment="1"/>
    <xf numFmtId="0" fontId="19" fillId="0" borderId="0" xfId="0" applyNumberFormat="1" applyFont="1" applyAlignment="1"/>
    <xf numFmtId="0" fontId="20" fillId="0" borderId="0" xfId="0" applyFont="1" applyAlignment="1"/>
    <xf numFmtId="168" fontId="19" fillId="0" borderId="0" xfId="1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3"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168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7.398758796298" createdVersion="3" refreshedVersion="6" minRefreshableVersion="3" recordCount="162" xr:uid="{57E94052-210B-9D41-85F4-E309A888A477}">
  <cacheSource type="worksheet">
    <worksheetSource ref="A5:K167" sheet="Paper"/>
  </cacheSource>
  <cacheFields count="11">
    <cacheField name="Arrival" numFmtId="49">
      <sharedItems count="66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  <s v="2/17/2021"/>
        <s v="2/19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1">
        <n v="600"/>
        <n v="120"/>
        <m/>
        <n v="0"/>
        <n v="400"/>
        <n v="550"/>
        <n v="570"/>
        <n v="180"/>
        <n v="70"/>
        <n v="300"/>
        <n v="480"/>
        <n v="500"/>
        <n v="580"/>
        <n v="585"/>
        <n v="380"/>
        <n v="10"/>
        <n v="250"/>
        <n v="80"/>
        <n v="1000"/>
        <n v="200"/>
        <n v="450"/>
      </sharedItems>
    </cacheField>
    <cacheField name="Remaining" numFmtId="0">
      <sharedItems containsSemiMixedTypes="0" containsString="0" containsNumber="1" containsInteger="1" minValue="0" maxValue="1200" count="22">
        <n v="0"/>
        <n v="480"/>
        <n v="600"/>
        <n v="1200"/>
        <n v="200"/>
        <n v="50"/>
        <n v="300"/>
        <n v="30"/>
        <n v="20"/>
        <n v="130"/>
        <n v="100"/>
        <n v="120"/>
        <n v="60"/>
        <n v="400"/>
        <n v="15"/>
        <n v="80"/>
        <n v="290"/>
        <n v="500"/>
        <n v="350"/>
        <n v="520"/>
        <n v="15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3"/>
    <x v="2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2"/>
    <x v="3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4"/>
    <x v="4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0"/>
    <x v="0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0"/>
    <x v="0"/>
    <x v="1"/>
    <x v="7"/>
  </r>
  <r>
    <x v="12"/>
    <x v="0"/>
    <x v="6"/>
    <x v="0"/>
    <x v="0"/>
    <x v="0"/>
    <x v="0"/>
    <x v="5"/>
    <x v="5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4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11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12"/>
    <x v="8"/>
    <x v="1"/>
    <x v="16"/>
  </r>
  <r>
    <x v="17"/>
    <x v="5"/>
    <x v="9"/>
    <x v="1"/>
    <x v="4"/>
    <x v="0"/>
    <x v="5"/>
    <x v="2"/>
    <x v="12"/>
    <x v="3"/>
    <x v="17"/>
  </r>
  <r>
    <x v="12"/>
    <x v="0"/>
    <x v="1"/>
    <x v="0"/>
    <x v="0"/>
    <x v="0"/>
    <x v="0"/>
    <x v="12"/>
    <x v="8"/>
    <x v="1"/>
    <x v="18"/>
  </r>
  <r>
    <x v="12"/>
    <x v="3"/>
    <x v="10"/>
    <x v="1"/>
    <x v="5"/>
    <x v="0"/>
    <x v="6"/>
    <x v="2"/>
    <x v="13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4"/>
    <x v="1"/>
    <x v="21"/>
  </r>
  <r>
    <x v="12"/>
    <x v="7"/>
    <x v="12"/>
    <x v="1"/>
    <x v="3"/>
    <x v="0"/>
    <x v="4"/>
    <x v="2"/>
    <x v="10"/>
    <x v="1"/>
    <x v="22"/>
  </r>
  <r>
    <x v="12"/>
    <x v="7"/>
    <x v="12"/>
    <x v="1"/>
    <x v="0"/>
    <x v="0"/>
    <x v="0"/>
    <x v="13"/>
    <x v="14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4"/>
    <x v="8"/>
    <x v="2"/>
    <x v="23"/>
  </r>
  <r>
    <x v="12"/>
    <x v="9"/>
    <x v="14"/>
    <x v="1"/>
    <x v="6"/>
    <x v="0"/>
    <x v="7"/>
    <x v="2"/>
    <x v="15"/>
    <x v="0"/>
    <x v="24"/>
  </r>
  <r>
    <x v="18"/>
    <x v="9"/>
    <x v="14"/>
    <x v="1"/>
    <x v="6"/>
    <x v="0"/>
    <x v="7"/>
    <x v="2"/>
    <x v="15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5"/>
    <x v="0"/>
    <x v="24"/>
  </r>
  <r>
    <x v="23"/>
    <x v="9"/>
    <x v="12"/>
    <x v="1"/>
    <x v="5"/>
    <x v="0"/>
    <x v="6"/>
    <x v="2"/>
    <x v="13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4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9"/>
    <x v="0"/>
    <x v="0"/>
    <x v="14"/>
  </r>
  <r>
    <x v="30"/>
    <x v="2"/>
    <x v="8"/>
    <x v="1"/>
    <x v="1"/>
    <x v="0"/>
    <x v="2"/>
    <x v="15"/>
    <x v="16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4"/>
    <x v="10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2"/>
    <x v="17"/>
    <x v="0"/>
    <x v="30"/>
  </r>
  <r>
    <x v="37"/>
    <x v="11"/>
    <x v="12"/>
    <x v="1"/>
    <x v="7"/>
    <x v="0"/>
    <x v="8"/>
    <x v="2"/>
    <x v="17"/>
    <x v="0"/>
    <x v="30"/>
  </r>
  <r>
    <x v="37"/>
    <x v="11"/>
    <x v="12"/>
    <x v="1"/>
    <x v="8"/>
    <x v="0"/>
    <x v="9"/>
    <x v="2"/>
    <x v="18"/>
    <x v="0"/>
    <x v="30"/>
  </r>
  <r>
    <x v="37"/>
    <x v="11"/>
    <x v="12"/>
    <x v="1"/>
    <x v="8"/>
    <x v="0"/>
    <x v="9"/>
    <x v="2"/>
    <x v="18"/>
    <x v="0"/>
    <x v="30"/>
  </r>
  <r>
    <x v="37"/>
    <x v="11"/>
    <x v="12"/>
    <x v="1"/>
    <x v="8"/>
    <x v="0"/>
    <x v="9"/>
    <x v="16"/>
    <x v="10"/>
    <x v="0"/>
    <x v="30"/>
  </r>
  <r>
    <x v="38"/>
    <x v="10"/>
    <x v="3"/>
    <x v="1"/>
    <x v="0"/>
    <x v="0"/>
    <x v="0"/>
    <x v="2"/>
    <x v="2"/>
    <x v="0"/>
    <x v="31"/>
  </r>
  <r>
    <x v="38"/>
    <x v="10"/>
    <x v="8"/>
    <x v="1"/>
    <x v="0"/>
    <x v="0"/>
    <x v="0"/>
    <x v="17"/>
    <x v="19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5"/>
    <x v="5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0"/>
    <x v="0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2"/>
    <x v="17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9"/>
    <x v="6"/>
    <x v="0"/>
    <x v="26"/>
  </r>
  <r>
    <x v="48"/>
    <x v="0"/>
    <x v="4"/>
    <x v="1"/>
    <x v="0"/>
    <x v="0"/>
    <x v="0"/>
    <x v="4"/>
    <x v="4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9"/>
    <x v="13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6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0"/>
    <x v="0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5"/>
    <x v="5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4"/>
    <x v="4"/>
    <x v="0"/>
    <x v="5"/>
  </r>
  <r>
    <x v="58"/>
    <x v="3"/>
    <x v="19"/>
    <x v="1"/>
    <x v="2"/>
    <x v="0"/>
    <x v="3"/>
    <x v="2"/>
    <x v="4"/>
    <x v="0"/>
    <x v="37"/>
  </r>
  <r>
    <x v="58"/>
    <x v="3"/>
    <x v="19"/>
    <x v="1"/>
    <x v="5"/>
    <x v="0"/>
    <x v="6"/>
    <x v="2"/>
    <x v="13"/>
    <x v="0"/>
    <x v="37"/>
  </r>
  <r>
    <x v="59"/>
    <x v="0"/>
    <x v="0"/>
    <x v="0"/>
    <x v="0"/>
    <x v="0"/>
    <x v="0"/>
    <x v="0"/>
    <x v="0"/>
    <x v="0"/>
    <x v="0"/>
  </r>
  <r>
    <x v="59"/>
    <x v="0"/>
    <x v="7"/>
    <x v="1"/>
    <x v="0"/>
    <x v="0"/>
    <x v="0"/>
    <x v="2"/>
    <x v="2"/>
    <x v="0"/>
    <x v="8"/>
  </r>
  <r>
    <x v="59"/>
    <x v="0"/>
    <x v="7"/>
    <x v="1"/>
    <x v="0"/>
    <x v="0"/>
    <x v="0"/>
    <x v="20"/>
    <x v="20"/>
    <x v="0"/>
    <x v="8"/>
  </r>
  <r>
    <x v="59"/>
    <x v="0"/>
    <x v="4"/>
    <x v="1"/>
    <x v="0"/>
    <x v="0"/>
    <x v="0"/>
    <x v="2"/>
    <x v="2"/>
    <x v="0"/>
    <x v="9"/>
  </r>
  <r>
    <x v="60"/>
    <x v="3"/>
    <x v="16"/>
    <x v="1"/>
    <x v="1"/>
    <x v="0"/>
    <x v="2"/>
    <x v="1"/>
    <x v="21"/>
    <x v="0"/>
    <x v="38"/>
  </r>
  <r>
    <x v="61"/>
    <x v="0"/>
    <x v="7"/>
    <x v="1"/>
    <x v="0"/>
    <x v="0"/>
    <x v="0"/>
    <x v="0"/>
    <x v="0"/>
    <x v="0"/>
    <x v="8"/>
  </r>
  <r>
    <x v="61"/>
    <x v="0"/>
    <x v="0"/>
    <x v="1"/>
    <x v="0"/>
    <x v="0"/>
    <x v="0"/>
    <x v="2"/>
    <x v="2"/>
    <x v="0"/>
    <x v="1"/>
  </r>
  <r>
    <x v="62"/>
    <x v="0"/>
    <x v="6"/>
    <x v="1"/>
    <x v="0"/>
    <x v="0"/>
    <x v="0"/>
    <x v="0"/>
    <x v="0"/>
    <x v="0"/>
    <x v="10"/>
  </r>
  <r>
    <x v="63"/>
    <x v="0"/>
    <x v="7"/>
    <x v="1"/>
    <x v="0"/>
    <x v="0"/>
    <x v="0"/>
    <x v="0"/>
    <x v="0"/>
    <x v="0"/>
    <x v="8"/>
  </r>
  <r>
    <x v="63"/>
    <x v="0"/>
    <x v="7"/>
    <x v="1"/>
    <x v="0"/>
    <x v="0"/>
    <x v="0"/>
    <x v="0"/>
    <x v="0"/>
    <x v="0"/>
    <x v="8"/>
  </r>
  <r>
    <x v="64"/>
    <x v="0"/>
    <x v="6"/>
    <x v="1"/>
    <x v="0"/>
    <x v="0"/>
    <x v="0"/>
    <x v="0"/>
    <x v="0"/>
    <x v="0"/>
    <x v="10"/>
  </r>
  <r>
    <x v="64"/>
    <x v="0"/>
    <x v="6"/>
    <x v="1"/>
    <x v="0"/>
    <x v="0"/>
    <x v="0"/>
    <x v="0"/>
    <x v="0"/>
    <x v="0"/>
    <x v="10"/>
  </r>
  <r>
    <x v="64"/>
    <x v="0"/>
    <x v="8"/>
    <x v="1"/>
    <x v="0"/>
    <x v="0"/>
    <x v="0"/>
    <x v="2"/>
    <x v="2"/>
    <x v="0"/>
    <x v="12"/>
  </r>
  <r>
    <x v="65"/>
    <x v="0"/>
    <x v="8"/>
    <x v="1"/>
    <x v="0"/>
    <x v="0"/>
    <x v="0"/>
    <x v="0"/>
    <x v="0"/>
    <x v="0"/>
    <x v="12"/>
  </r>
  <r>
    <x v="65"/>
    <x v="0"/>
    <x v="0"/>
    <x v="0"/>
    <x v="0"/>
    <x v="0"/>
    <x v="0"/>
    <x v="2"/>
    <x v="2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04B058-0F82-4F4B-B03E-1455DCBEA7E3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6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62"/>
        <item x="63"/>
        <item x="64"/>
        <item x="5"/>
        <item x="65"/>
        <item x="57"/>
        <item x="61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3"/>
        <item x="15"/>
        <item x="8"/>
        <item x="17"/>
        <item x="1"/>
        <item x="7"/>
        <item x="19"/>
        <item x="16"/>
        <item x="9"/>
        <item x="14"/>
        <item x="4"/>
        <item x="20"/>
        <item x="10"/>
        <item x="11"/>
        <item x="5"/>
        <item x="6"/>
        <item x="12"/>
        <item x="13"/>
        <item x="0"/>
        <item x="18"/>
        <item x="2"/>
      </items>
    </pivotField>
    <pivotField dataField="1" showAll="0" defaultSubtotal="0">
      <items count="22">
        <item x="0"/>
        <item x="14"/>
        <item x="8"/>
        <item x="7"/>
        <item x="5"/>
        <item x="12"/>
        <item x="15"/>
        <item x="10"/>
        <item x="11"/>
        <item x="9"/>
        <item x="20"/>
        <item x="21"/>
        <item x="4"/>
        <item x="16"/>
        <item x="6"/>
        <item x="18"/>
        <item x="13"/>
        <item x="1"/>
        <item x="17"/>
        <item x="19"/>
        <item x="2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68" headerRowDxfId="52" dataDxfId="51" totalsRowDxfId="50">
  <autoFilter ref="A5:K168" xr:uid="{00000000-0009-0000-0100-000002000000}">
    <filterColumn colId="3">
      <customFilters>
        <customFilter operator="notEqual" val=" "/>
      </customFilters>
    </filterColumn>
    <filterColumn colId="10">
      <customFilters>
        <customFilter val="*185*"/>
      </customFilters>
    </filterColumn>
  </autoFilter>
  <tableColumns count="11">
    <tableColumn id="1" xr3:uid="{00000000-0010-0000-0000-000001000000}" name="Arrival" totalsRowLabel="Total" dataDxfId="49" totalsRowDxfId="48"/>
    <tableColumn id="2" xr3:uid="{00000000-0010-0000-0000-000002000000}" name="Specs" dataDxfId="47" totalsRowDxfId="46"/>
    <tableColumn id="3" xr3:uid="{00000000-0010-0000-0000-000003000000}" name="Width" dataDxfId="45" totalsRowDxfId="44"/>
    <tableColumn id="9" xr3:uid="{00000000-0010-0000-0000-000009000000}" name="Slitting" dataDxfId="43" totalsRowDxfId="42"/>
    <tableColumn id="4" xr3:uid="{00000000-0010-0000-0000-000004000000}" name="Length" dataDxfId="41" totalsRowDxfId="40"/>
    <tableColumn id="5" xr3:uid="{00000000-0010-0000-0000-000005000000}" name="Roll" dataDxfId="39" totalsRowDxfId="38"/>
    <tableColumn id="6" xr3:uid="{00000000-0010-0000-0000-000006000000}" name="Total" dataDxfId="37" totalsRowDxfId="36">
      <calculatedColumnFormula>F6*E6</calculatedColumnFormula>
    </tableColumn>
    <tableColumn id="7" xr3:uid="{00000000-0010-0000-0000-000007000000}" name="Used" dataDxfId="35" totalsRowDxfId="34"/>
    <tableColumn id="8" xr3:uid="{00000000-0010-0000-0000-000008000000}" name="Remaining" dataDxfId="33" totalsRowDxfId="32">
      <calculatedColumnFormula>G6-H6</calculatedColumnFormula>
    </tableColumn>
    <tableColumn id="10" xr3:uid="{00000000-0010-0000-0000-00000A000000}" name="Lining" dataDxfId="31" totalsRowDxfId="30"/>
    <tableColumn id="11" xr3:uid="{00000000-0010-0000-0000-00000B000000}" name="Index" totalsRowFunction="count" dataDxfId="29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28" dataDxfId="27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26"/>
    <tableColumn id="2" xr3:uid="{00000000-0010-0000-0100-000002000000}" name="LINE" dataDxfId="25"/>
    <tableColumn id="3" xr3:uid="{00000000-0010-0000-0100-000003000000}" name="Order Code" dataDxfId="24"/>
    <tableColumn id="4" xr3:uid="{00000000-0010-0000-0100-000004000000}" name="NAME" dataDxfId="23"/>
    <tableColumn id="7" xr3:uid="{00000000-0010-0000-0100-000007000000}" name="REMAINING" dataDxfId="22"/>
    <tableColumn id="6" xr3:uid="{00000000-0010-0000-0100-000006000000}" name="IMPORT DATE" dataDxfId="21"/>
    <tableColumn id="8" xr3:uid="{00000000-0010-0000-0100-000008000000}" name="COLOR STD" dataDxfId="20"/>
    <tableColumn id="9" xr3:uid="{00000000-0010-0000-0100-000009000000}" name="Index" dataDxfId="19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E2B974-5EB2-B444-8159-E772BAA042D7}" name="Table3" displayName="Table3" ref="A4:L32" totalsRowShown="0" headerRowDxfId="18" dataDxfId="17">
  <autoFilter ref="A4:L32" xr:uid="{2B0FEFF4-7EF3-B54D-B3E6-808DF4203ADB}"/>
  <tableColumns count="12">
    <tableColumn id="1" xr3:uid="{326CA969-F76E-DD45-A448-2EB0CC3A1E14}" name="Item" dataDxfId="16"/>
    <tableColumn id="12" xr3:uid="{345ECD02-4CC9-264C-859A-F5559A9483F4}" name="Used" dataDxfId="15"/>
    <tableColumn id="11" xr3:uid="{46C93879-F528-B046-91B0-2F690DBFC1B6}" name="Price" dataDxfId="14" dataCellStyle="Comma"/>
    <tableColumn id="2" xr3:uid="{94331D38-FB24-BC42-9C2A-75FC90CF759E}" name="Order No." dataDxfId="13"/>
    <tableColumn id="10" xr3:uid="{344F67DB-8944-5646-A4AD-415B23CFEF87}" name="Order Qty" dataDxfId="12"/>
    <tableColumn id="3" xr3:uid="{81B69717-EF50-964A-9D69-F880A47FBE35}" name="一本" dataDxfId="11"/>
    <tableColumn id="4" xr3:uid="{C260D21A-2F90-F64E-957D-52353309EECB}" name="Size" dataDxfId="10"/>
    <tableColumn id="5" xr3:uid="{5027592F-297D-0342-9A60-1178D09CB995}" name="Made Qty." dataDxfId="9"/>
    <tableColumn id="6" xr3:uid="{5DD021C4-82A5-2B4E-A21F-01878F596B5F}" name="No. of parts" dataDxfId="8"/>
    <tableColumn id="7" xr3:uid="{F75D1D7D-B7E9-6C4F-B480-7C568B3EDE37}" name="Box Name" dataDxfId="7"/>
    <tableColumn id="8" xr3:uid="{897F741F-2B64-9C41-9264-6B4530CF42B0}" name="Production Date" dataDxfId="6"/>
    <tableColumn id="9" xr3:uid="{BCCE5F6F-AED2-D84A-9220-A9B392E36D62}" name="No. of order last year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22C1A-C959-6142-9A3E-67FC889911C9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1.8984375" bestFit="1" customWidth="1"/>
    <col min="11" max="14" width="5.59765625" bestFit="1" customWidth="1"/>
    <col min="15" max="15" width="7.59765625" bestFit="1" customWidth="1"/>
    <col min="16" max="16" width="3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3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44257.398715277777</v>
      </c>
    </row>
    <row r="2" spans="2:26">
      <c r="B2" s="7" t="s">
        <v>201</v>
      </c>
      <c r="C2" s="7" t="s">
        <v>197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3" spans="2:26">
      <c r="B3" s="57"/>
      <c r="C3" s="56">
        <v>40</v>
      </c>
      <c r="D3" s="56">
        <v>90</v>
      </c>
      <c r="E3" s="56">
        <v>100</v>
      </c>
      <c r="F3" s="56">
        <v>110</v>
      </c>
      <c r="G3" s="56">
        <v>115</v>
      </c>
      <c r="H3" s="56">
        <v>120</v>
      </c>
      <c r="I3" s="58">
        <v>125</v>
      </c>
      <c r="J3" s="59"/>
      <c r="K3" s="56">
        <v>130</v>
      </c>
      <c r="L3" s="56">
        <v>135</v>
      </c>
      <c r="M3" s="56">
        <v>140</v>
      </c>
      <c r="N3" s="56">
        <v>150</v>
      </c>
      <c r="O3" s="58">
        <v>155</v>
      </c>
      <c r="P3" s="59"/>
      <c r="Q3" s="56">
        <v>160</v>
      </c>
      <c r="R3" s="56">
        <v>165</v>
      </c>
      <c r="S3" s="56">
        <v>175</v>
      </c>
      <c r="T3" s="58">
        <v>185</v>
      </c>
      <c r="U3" s="59"/>
      <c r="V3" s="58">
        <v>205</v>
      </c>
      <c r="W3" s="59"/>
      <c r="X3" s="56">
        <v>210</v>
      </c>
      <c r="Y3" s="56">
        <v>215</v>
      </c>
      <c r="Z3" s="56">
        <v>220</v>
      </c>
    </row>
    <row r="4" spans="2:26">
      <c r="B4" s="7" t="s">
        <v>0</v>
      </c>
      <c r="C4" s="56" t="s">
        <v>253</v>
      </c>
      <c r="D4" s="56" t="s">
        <v>253</v>
      </c>
      <c r="E4" s="56" t="s">
        <v>253</v>
      </c>
      <c r="F4" s="56" t="s">
        <v>253</v>
      </c>
      <c r="G4" s="56" t="s">
        <v>253</v>
      </c>
      <c r="H4" s="56" t="s">
        <v>253</v>
      </c>
      <c r="I4" s="56" t="s">
        <v>261</v>
      </c>
      <c r="J4" s="56" t="s">
        <v>253</v>
      </c>
      <c r="K4" s="56" t="s">
        <v>253</v>
      </c>
      <c r="L4" s="56" t="s">
        <v>253</v>
      </c>
      <c r="M4" s="56" t="s">
        <v>253</v>
      </c>
      <c r="N4" s="56" t="s">
        <v>253</v>
      </c>
      <c r="O4" s="56" t="s">
        <v>261</v>
      </c>
      <c r="P4" s="56" t="s">
        <v>253</v>
      </c>
      <c r="Q4" s="56" t="s">
        <v>253</v>
      </c>
      <c r="R4" s="56" t="s">
        <v>253</v>
      </c>
      <c r="S4" s="56" t="s">
        <v>253</v>
      </c>
      <c r="T4" s="56" t="s">
        <v>261</v>
      </c>
      <c r="U4" s="56" t="s">
        <v>253</v>
      </c>
      <c r="V4" s="56" t="s">
        <v>261</v>
      </c>
      <c r="W4" s="56" t="s">
        <v>253</v>
      </c>
      <c r="X4" s="56" t="s">
        <v>253</v>
      </c>
      <c r="Y4" s="56" t="s">
        <v>253</v>
      </c>
      <c r="Z4" s="56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1620</v>
      </c>
      <c r="E17" s="6"/>
      <c r="F17" s="6"/>
      <c r="G17" s="6">
        <v>300</v>
      </c>
      <c r="H17" s="6"/>
      <c r="I17" s="6">
        <v>650</v>
      </c>
      <c r="J17" s="6">
        <v>0</v>
      </c>
      <c r="K17" s="6"/>
      <c r="L17" s="6"/>
      <c r="M17" s="6">
        <v>600</v>
      </c>
      <c r="N17" s="6"/>
      <c r="O17" s="6">
        <v>800</v>
      </c>
      <c r="P17" s="6">
        <v>800</v>
      </c>
      <c r="Q17" s="6"/>
      <c r="R17" s="6">
        <v>750</v>
      </c>
      <c r="S17" s="6"/>
      <c r="T17" s="6">
        <v>600</v>
      </c>
      <c r="U17" s="6">
        <v>600</v>
      </c>
      <c r="V17" s="6">
        <v>20</v>
      </c>
      <c r="W17" s="6">
        <v>480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68"/>
  <sheetViews>
    <sheetView zoomScale="150" zoomScaleNormal="150" workbookViewId="0">
      <pane ySplit="5" topLeftCell="A6" activePane="bottomLeft" state="frozen"/>
      <selection pane="bottomLeft" activeCell="H167" sqref="H167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 t="s">
        <v>376</v>
      </c>
      <c r="B2" s="38" t="s">
        <v>250</v>
      </c>
      <c r="I2" s="61"/>
      <c r="J2" s="61"/>
      <c r="M2" s="28"/>
      <c r="N2" s="28"/>
      <c r="O2" s="28"/>
      <c r="P2" s="28"/>
    </row>
    <row r="3" spans="1:19" ht="22">
      <c r="I3" s="60"/>
      <c r="J3" s="60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 hidden="1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 hidden="1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>
        <v>120</v>
      </c>
      <c r="I8" s="17">
        <f t="shared" si="1"/>
        <v>480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 hidden="1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 hidden="1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 hidden="1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600</v>
      </c>
      <c r="I23" s="17">
        <f t="shared" si="1"/>
        <v>0</v>
      </c>
      <c r="J23" s="17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600</v>
      </c>
      <c r="I28" s="17">
        <f t="shared" si="1"/>
        <v>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>
        <v>550</v>
      </c>
      <c r="I29" s="17">
        <f t="shared" si="1"/>
        <v>50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 hidden="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 hidden="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 hidden="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 hidden="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 hidden="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 hidden="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 hidden="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 hidden="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 hidden="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 hidden="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 hidden="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 hidden="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 hidden="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 hidden="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 hidden="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 hidden="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 hidden="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 hidden="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 hidden="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 hidden="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 hidden="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 hidden="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 hidden="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 hidden="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 hidden="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 hidden="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 hidden="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 hidden="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 hidden="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 hidden="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 hidden="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 hidden="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 hidden="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 hidden="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 hidden="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 hidden="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 hidden="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 hidden="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 hidden="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 hidden="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 hidden="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 hidden="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 hidden="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 hidden="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 hidden="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 hidden="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 hidden="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 hidden="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 hidden="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 hidden="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 hidden="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 hidden="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 hidden="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 hidden="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 hidden="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 hidden="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 hidden="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 hidden="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 hidden="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 hidden="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 hidden="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 hidden="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 hidden="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 hidden="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 hidden="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 hidden="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 hidden="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 hidden="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 hidden="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 hidden="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 hidden="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600</v>
      </c>
      <c r="I120" s="17">
        <f t="shared" ref="I120:I126" si="20">G120-H120</f>
        <v>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 hidden="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 hidden="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 hidden="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 hidden="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 hidden="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 hidden="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 hidden="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 hidden="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 hidden="1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400</v>
      </c>
      <c r="I129" s="17">
        <f t="shared" si="22"/>
        <v>200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 hidden="1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 hidden="1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 hidden="1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 hidden="1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 hidden="1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 hidden="1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 hidden="1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 hidden="1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 hidden="1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 hidden="1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 hidden="1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 hidden="1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 hidden="1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 hidden="1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 hidden="1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600</v>
      </c>
      <c r="I144" s="17">
        <f t="shared" si="26"/>
        <v>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 hidden="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 hidden="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 hidden="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 hidden="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 hidden="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 hidden="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 hidden="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 hidden="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600</v>
      </c>
      <c r="I153" s="17">
        <f t="shared" si="28"/>
        <v>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 hidden="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 hidden="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>
        <v>450</v>
      </c>
      <c r="I155" s="17">
        <f t="shared" si="28"/>
        <v>150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 hidden="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 hidden="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 hidden="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 t="shared" ref="G158:G163" si="29">F158*E158</f>
        <v>600</v>
      </c>
      <c r="H158" s="17">
        <v>600</v>
      </c>
      <c r="I158" s="17">
        <f t="shared" ref="I158:I163" si="30">G158-H158</f>
        <v>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 hidden="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 t="shared" si="29"/>
        <v>600</v>
      </c>
      <c r="H159" s="17"/>
      <c r="I159" s="17">
        <f t="shared" si="30"/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 hidden="1">
      <c r="A160" s="15" t="s">
        <v>330</v>
      </c>
      <c r="B160" s="16" t="s">
        <v>249</v>
      </c>
      <c r="C160" s="17">
        <v>125</v>
      </c>
      <c r="D160" s="17"/>
      <c r="E160" s="17">
        <v>600</v>
      </c>
      <c r="F160" s="17">
        <v>1</v>
      </c>
      <c r="G160" s="17">
        <f t="shared" si="29"/>
        <v>600</v>
      </c>
      <c r="H160" s="17">
        <v>600</v>
      </c>
      <c r="I160" s="17">
        <f t="shared" si="30"/>
        <v>0</v>
      </c>
      <c r="J160" s="17"/>
      <c r="K160" s="19" t="str">
        <f>CONCATENATE(Table2[[#This Row],[Specs]],Table2[[#This Row],[Width]],Table2[[#This Row],[Slitting]])</f>
        <v>y ユポ80 MDN 8GB125</v>
      </c>
    </row>
    <row r="161" spans="1:11" hidden="1">
      <c r="A161" s="15" t="s">
        <v>331</v>
      </c>
      <c r="B161" s="16" t="s">
        <v>249</v>
      </c>
      <c r="C161" s="17">
        <v>165</v>
      </c>
      <c r="D161" s="17"/>
      <c r="E161" s="17">
        <v>600</v>
      </c>
      <c r="F161" s="17">
        <v>1</v>
      </c>
      <c r="G161" s="17">
        <f t="shared" si="29"/>
        <v>600</v>
      </c>
      <c r="H161" s="17">
        <v>600</v>
      </c>
      <c r="I161" s="17">
        <f t="shared" si="30"/>
        <v>0</v>
      </c>
      <c r="J161" s="17"/>
      <c r="K161" s="19" t="str">
        <f>CONCATENATE(Table2[[#This Row],[Specs]],Table2[[#This Row],[Width]],Table2[[#This Row],[Slitting]])</f>
        <v>y ユポ80 MDN 8GB165</v>
      </c>
    </row>
    <row r="162" spans="1:11" hidden="1">
      <c r="A162" s="15" t="s">
        <v>331</v>
      </c>
      <c r="B162" s="16" t="s">
        <v>249</v>
      </c>
      <c r="C162" s="17">
        <v>165</v>
      </c>
      <c r="D162" s="17"/>
      <c r="E162" s="17">
        <v>600</v>
      </c>
      <c r="F162" s="17">
        <v>1</v>
      </c>
      <c r="G162" s="17">
        <f t="shared" si="29"/>
        <v>600</v>
      </c>
      <c r="H162" s="17">
        <v>600</v>
      </c>
      <c r="I162" s="17">
        <f t="shared" si="30"/>
        <v>0</v>
      </c>
      <c r="J162" s="17"/>
      <c r="K162" s="19" t="str">
        <f>CONCATENATE(Table2[[#This Row],[Specs]],Table2[[#This Row],[Width]],Table2[[#This Row],[Slitting]])</f>
        <v>y ユポ80 MDN 8GB165</v>
      </c>
    </row>
    <row r="163" spans="1:11" hidden="1">
      <c r="A163" s="15" t="s">
        <v>368</v>
      </c>
      <c r="B163" s="16" t="s">
        <v>249</v>
      </c>
      <c r="C163" s="17">
        <v>125</v>
      </c>
      <c r="D163" s="17"/>
      <c r="E163" s="17">
        <v>600</v>
      </c>
      <c r="F163" s="17">
        <v>1</v>
      </c>
      <c r="G163" s="17">
        <f t="shared" si="29"/>
        <v>600</v>
      </c>
      <c r="H163" s="17">
        <v>600</v>
      </c>
      <c r="I163" s="17">
        <f t="shared" si="30"/>
        <v>0</v>
      </c>
      <c r="J163" s="17"/>
      <c r="K163" s="19" t="str">
        <f>CONCATENATE(Table2[[#This Row],[Specs]],Table2[[#This Row],[Width]],Table2[[#This Row],[Slitting]])</f>
        <v>y ユポ80 MDN 8GB125</v>
      </c>
    </row>
    <row r="164" spans="1:11" hidden="1">
      <c r="A164" s="15" t="s">
        <v>368</v>
      </c>
      <c r="B164" s="16" t="s">
        <v>249</v>
      </c>
      <c r="C164" s="17">
        <v>125</v>
      </c>
      <c r="D164" s="17"/>
      <c r="E164" s="17">
        <v>600</v>
      </c>
      <c r="F164" s="17">
        <v>1</v>
      </c>
      <c r="G164" s="17">
        <f>F164*E164</f>
        <v>600</v>
      </c>
      <c r="H164" s="17">
        <v>600</v>
      </c>
      <c r="I164" s="17">
        <f>G164-H164</f>
        <v>0</v>
      </c>
      <c r="J164" s="17"/>
      <c r="K164" s="19" t="str">
        <f>CONCATENATE(Table2[[#This Row],[Specs]],Table2[[#This Row],[Width]],Table2[[#This Row],[Slitting]])</f>
        <v>y ユポ80 MDN 8GB125</v>
      </c>
    </row>
    <row r="165" spans="1:11" hidden="1">
      <c r="A165" s="15" t="s">
        <v>368</v>
      </c>
      <c r="B165" s="16" t="s">
        <v>249</v>
      </c>
      <c r="C165" s="17">
        <v>140</v>
      </c>
      <c r="D165" s="17"/>
      <c r="E165" s="17">
        <v>600</v>
      </c>
      <c r="F165" s="17">
        <v>1</v>
      </c>
      <c r="G165" s="17">
        <f>F165*E165</f>
        <v>600</v>
      </c>
      <c r="H165" s="17"/>
      <c r="I165" s="17">
        <f>G165-H165</f>
        <v>600</v>
      </c>
      <c r="J165" s="17"/>
      <c r="K165" s="19" t="str">
        <f>CONCATENATE(Table2[[#This Row],[Specs]],Table2[[#This Row],[Width]],Table2[[#This Row],[Slitting]])</f>
        <v>y ユポ80 MDN 8GB140</v>
      </c>
    </row>
    <row r="166" spans="1:11" hidden="1">
      <c r="A166" s="15" t="s">
        <v>374</v>
      </c>
      <c r="B166" s="16" t="s">
        <v>249</v>
      </c>
      <c r="C166" s="17">
        <v>140</v>
      </c>
      <c r="D166" s="17"/>
      <c r="E166" s="17">
        <v>600</v>
      </c>
      <c r="F166" s="17">
        <v>1</v>
      </c>
      <c r="G166" s="17">
        <f>F166*E166</f>
        <v>600</v>
      </c>
      <c r="H166" s="17">
        <v>600</v>
      </c>
      <c r="I166" s="17">
        <f>G166-H166</f>
        <v>0</v>
      </c>
      <c r="J166" s="17"/>
      <c r="K166" s="19" t="str">
        <f>CONCATENATE(Table2[[#This Row],[Specs]],Table2[[#This Row],[Width]],Table2[[#This Row],[Slitting]])</f>
        <v>y ユポ80 MDN 8GB140</v>
      </c>
    </row>
    <row r="167" spans="1:11">
      <c r="A167" s="15" t="s">
        <v>374</v>
      </c>
      <c r="B167" s="16" t="s">
        <v>249</v>
      </c>
      <c r="C167" s="17">
        <v>185</v>
      </c>
      <c r="D167" s="17" t="s">
        <v>261</v>
      </c>
      <c r="E167" s="17">
        <v>600</v>
      </c>
      <c r="F167" s="17">
        <v>1</v>
      </c>
      <c r="G167" s="17">
        <f>F167*E167</f>
        <v>600</v>
      </c>
      <c r="H167" s="17"/>
      <c r="I167" s="17">
        <f>G167-H167</f>
        <v>600</v>
      </c>
      <c r="J167" s="17"/>
      <c r="K167" s="19" t="str">
        <f>CONCATENATE(Table2[[#This Row],[Specs]],Table2[[#This Row],[Width]],Table2[[#This Row],[Slitting]])</f>
        <v>y ユポ80 MDN 8GB185i 一本刃</v>
      </c>
    </row>
    <row r="168" spans="1:11" hidden="1">
      <c r="A168" s="15"/>
      <c r="B168" s="16"/>
      <c r="C168" s="17"/>
      <c r="D168" s="17"/>
      <c r="E168" s="17"/>
      <c r="F168" s="17"/>
      <c r="G168" s="17">
        <f>F168*E168</f>
        <v>0</v>
      </c>
      <c r="H168" s="17"/>
      <c r="I168" s="17">
        <f>G168-H168</f>
        <v>0</v>
      </c>
      <c r="J168" s="17"/>
      <c r="K168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235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244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75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234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238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235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214</v>
      </c>
      <c r="C201" s="26">
        <v>163</v>
      </c>
      <c r="D201" s="26" t="s">
        <v>236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237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239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328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5LX4 青</v>
      </c>
    </row>
    <row r="206" spans="1:8" ht="20">
      <c r="A206" s="25"/>
      <c r="B206" s="26" t="s">
        <v>22</v>
      </c>
      <c r="C206" s="26">
        <v>273</v>
      </c>
      <c r="D206" s="26" t="s">
        <v>240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241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242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243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288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267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275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275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214</v>
      </c>
      <c r="C216" s="26">
        <v>102</v>
      </c>
      <c r="D216" s="43" t="s">
        <v>291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214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319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9"/>
  <sheetViews>
    <sheetView zoomScaleNormal="100" workbookViewId="0">
      <selection activeCell="A10" sqref="A10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62" t="s">
        <v>232</v>
      </c>
      <c r="B1" s="63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  <row r="9" spans="1:2" ht="23">
      <c r="A9" s="33">
        <v>44245</v>
      </c>
      <c r="B9" s="34" t="s">
        <v>332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7DFDF-F874-C64A-92C0-615CB8B2945C}">
  <dimension ref="A4:L101"/>
  <sheetViews>
    <sheetView topLeftCell="A15" zoomScale="102" workbookViewId="0">
      <selection activeCell="A32" sqref="A32"/>
    </sheetView>
  </sheetViews>
  <sheetFormatPr baseColWidth="10" defaultColWidth="14.59765625" defaultRowHeight="23"/>
  <cols>
    <col min="1" max="1" width="19.3984375" style="51" bestFit="1" customWidth="1"/>
    <col min="2" max="2" width="7.09765625" style="51" bestFit="1" customWidth="1"/>
    <col min="3" max="4" width="11" style="51" customWidth="1"/>
    <col min="5" max="5" width="5.69921875" style="51" customWidth="1"/>
    <col min="6" max="6" width="5.8984375" style="51" customWidth="1"/>
    <col min="7" max="7" width="5.69921875" style="51" bestFit="1" customWidth="1"/>
    <col min="8" max="8" width="12.796875" style="51" customWidth="1"/>
    <col min="9" max="9" width="11.19921875" style="51" customWidth="1"/>
    <col min="10" max="10" width="16.69921875" style="53" customWidth="1"/>
    <col min="11" max="11" width="21.3984375" style="51" customWidth="1"/>
    <col min="12" max="16384" width="14.59765625" style="51"/>
  </cols>
  <sheetData>
    <row r="4" spans="1:12">
      <c r="A4" s="54" t="s">
        <v>333</v>
      </c>
      <c r="B4" s="54" t="s">
        <v>1</v>
      </c>
      <c r="C4" s="54" t="s">
        <v>363</v>
      </c>
      <c r="D4" s="54" t="s">
        <v>364</v>
      </c>
      <c r="E4" s="54" t="s">
        <v>365</v>
      </c>
      <c r="F4" s="54" t="s">
        <v>343</v>
      </c>
      <c r="G4" s="54" t="s">
        <v>342</v>
      </c>
      <c r="H4" s="54" t="s">
        <v>366</v>
      </c>
      <c r="I4" s="54" t="s">
        <v>338</v>
      </c>
      <c r="J4" s="54" t="s">
        <v>339</v>
      </c>
      <c r="K4" s="54" t="s">
        <v>334</v>
      </c>
      <c r="L4" s="54" t="s">
        <v>335</v>
      </c>
    </row>
    <row r="5" spans="1:12">
      <c r="A5" s="51" t="s">
        <v>336</v>
      </c>
      <c r="C5" s="55"/>
      <c r="D5" s="51" t="s">
        <v>287</v>
      </c>
      <c r="F5" s="51">
        <v>0</v>
      </c>
      <c r="G5" s="51">
        <v>125</v>
      </c>
      <c r="H5" s="51">
        <v>1000</v>
      </c>
      <c r="I5" s="51">
        <v>2</v>
      </c>
      <c r="J5" s="52" t="s">
        <v>340</v>
      </c>
      <c r="K5" s="53">
        <v>20210215</v>
      </c>
      <c r="L5" s="51" t="s">
        <v>287</v>
      </c>
    </row>
    <row r="6" spans="1:12">
      <c r="A6" s="51" t="s">
        <v>337</v>
      </c>
      <c r="C6" s="55"/>
      <c r="D6" s="51" t="s">
        <v>287</v>
      </c>
      <c r="F6" s="51">
        <v>0</v>
      </c>
      <c r="G6" s="51">
        <v>185</v>
      </c>
      <c r="H6" s="51">
        <v>650</v>
      </c>
      <c r="I6" s="51">
        <v>1</v>
      </c>
      <c r="J6" s="52" t="s">
        <v>340</v>
      </c>
      <c r="K6" s="53">
        <v>20210215</v>
      </c>
      <c r="L6" s="51" t="s">
        <v>287</v>
      </c>
    </row>
    <row r="7" spans="1:12">
      <c r="A7" s="51" t="s">
        <v>341</v>
      </c>
      <c r="C7" s="55"/>
      <c r="D7" s="51" t="s">
        <v>287</v>
      </c>
      <c r="F7" s="51">
        <v>0</v>
      </c>
      <c r="G7" s="51">
        <v>165</v>
      </c>
      <c r="H7" s="51">
        <v>500</v>
      </c>
      <c r="I7" s="51">
        <v>1</v>
      </c>
      <c r="J7" s="52" t="s">
        <v>287</v>
      </c>
      <c r="K7" s="53">
        <v>20210203</v>
      </c>
      <c r="L7" s="51" t="s">
        <v>287</v>
      </c>
    </row>
    <row r="8" spans="1:12">
      <c r="A8" s="51" t="s">
        <v>344</v>
      </c>
      <c r="B8" s="51">
        <v>1</v>
      </c>
      <c r="C8" s="55"/>
      <c r="D8" s="51" t="s">
        <v>287</v>
      </c>
      <c r="F8" s="51">
        <v>0</v>
      </c>
      <c r="G8" s="51">
        <v>165</v>
      </c>
      <c r="H8" s="51">
        <v>1000</v>
      </c>
      <c r="I8" s="51">
        <v>2</v>
      </c>
      <c r="J8" s="52" t="s">
        <v>287</v>
      </c>
      <c r="K8" s="53">
        <v>20210202</v>
      </c>
      <c r="L8" s="51" t="s">
        <v>287</v>
      </c>
    </row>
    <row r="9" spans="1:12">
      <c r="A9" s="51" t="s">
        <v>345</v>
      </c>
      <c r="C9" s="55"/>
      <c r="D9" s="51" t="s">
        <v>287</v>
      </c>
      <c r="F9" s="51">
        <v>0</v>
      </c>
      <c r="G9" s="51">
        <v>165</v>
      </c>
      <c r="H9" s="51">
        <v>500</v>
      </c>
      <c r="I9" s="51">
        <v>1</v>
      </c>
      <c r="J9" s="52" t="s">
        <v>340</v>
      </c>
      <c r="K9" s="53">
        <v>20210216</v>
      </c>
      <c r="L9" s="51" t="s">
        <v>287</v>
      </c>
    </row>
    <row r="10" spans="1:12">
      <c r="A10" s="51" t="s">
        <v>346</v>
      </c>
      <c r="C10" s="55"/>
      <c r="D10" s="51" t="s">
        <v>287</v>
      </c>
      <c r="F10" s="51">
        <v>0</v>
      </c>
      <c r="G10" s="51">
        <v>165</v>
      </c>
      <c r="H10" s="51">
        <v>1500</v>
      </c>
      <c r="I10" s="51">
        <v>3</v>
      </c>
      <c r="J10" s="52" t="s">
        <v>340</v>
      </c>
      <c r="K10" s="53">
        <v>20210216</v>
      </c>
      <c r="L10" s="51" t="s">
        <v>287</v>
      </c>
    </row>
    <row r="11" spans="1:12">
      <c r="A11" s="51" t="s">
        <v>347</v>
      </c>
      <c r="C11" s="55"/>
      <c r="D11" s="51" t="s">
        <v>287</v>
      </c>
      <c r="F11" s="51">
        <v>0</v>
      </c>
      <c r="G11" s="51">
        <v>165</v>
      </c>
      <c r="H11" s="51">
        <v>500</v>
      </c>
      <c r="I11" s="51">
        <v>1</v>
      </c>
      <c r="J11" s="52" t="s">
        <v>287</v>
      </c>
      <c r="K11" s="53">
        <v>20200928</v>
      </c>
      <c r="L11" s="51" t="s">
        <v>287</v>
      </c>
    </row>
    <row r="12" spans="1:12">
      <c r="A12" s="51" t="s">
        <v>348</v>
      </c>
      <c r="C12" s="55"/>
      <c r="D12" s="51" t="s">
        <v>287</v>
      </c>
      <c r="F12" s="51">
        <v>0</v>
      </c>
      <c r="G12" s="51">
        <v>165</v>
      </c>
      <c r="H12" s="51">
        <v>600</v>
      </c>
      <c r="I12" s="51">
        <v>1</v>
      </c>
      <c r="J12" s="52" t="s">
        <v>287</v>
      </c>
      <c r="K12" s="53">
        <v>20200424</v>
      </c>
      <c r="L12" s="51" t="s">
        <v>287</v>
      </c>
    </row>
    <row r="13" spans="1:12">
      <c r="A13" s="51" t="s">
        <v>349</v>
      </c>
      <c r="C13" s="55"/>
      <c r="D13" s="51" t="s">
        <v>287</v>
      </c>
      <c r="F13" s="51">
        <v>0</v>
      </c>
      <c r="G13" s="51">
        <v>165</v>
      </c>
      <c r="H13" s="51">
        <v>1500</v>
      </c>
      <c r="I13" s="51" t="s">
        <v>287</v>
      </c>
      <c r="J13" s="52" t="s">
        <v>287</v>
      </c>
      <c r="K13" s="53">
        <v>20200424</v>
      </c>
      <c r="L13" s="51" t="s">
        <v>287</v>
      </c>
    </row>
    <row r="14" spans="1:12">
      <c r="A14" s="51" t="s">
        <v>350</v>
      </c>
      <c r="C14" s="55"/>
      <c r="D14" s="51" t="s">
        <v>287</v>
      </c>
      <c r="F14" s="51">
        <v>0</v>
      </c>
      <c r="G14" s="51">
        <v>165</v>
      </c>
      <c r="H14" s="51">
        <v>600</v>
      </c>
      <c r="I14" s="51">
        <v>2</v>
      </c>
      <c r="J14" s="52" t="s">
        <v>287</v>
      </c>
      <c r="K14" s="53">
        <v>20200928</v>
      </c>
      <c r="L14" s="51" t="s">
        <v>287</v>
      </c>
    </row>
    <row r="15" spans="1:12">
      <c r="A15" s="51" t="s">
        <v>351</v>
      </c>
      <c r="C15" s="55"/>
      <c r="D15" s="51" t="s">
        <v>287</v>
      </c>
      <c r="F15" s="51">
        <v>0</v>
      </c>
      <c r="G15" s="51">
        <v>125</v>
      </c>
      <c r="H15" s="51">
        <v>600</v>
      </c>
      <c r="I15" s="51">
        <v>1</v>
      </c>
      <c r="J15" s="52" t="s">
        <v>287</v>
      </c>
      <c r="K15" s="53">
        <v>20200528</v>
      </c>
      <c r="L15" s="51" t="s">
        <v>287</v>
      </c>
    </row>
    <row r="16" spans="1:12">
      <c r="A16" s="51" t="s">
        <v>352</v>
      </c>
      <c r="C16" s="55"/>
      <c r="D16" s="51" t="s">
        <v>287</v>
      </c>
      <c r="F16" s="51">
        <v>0</v>
      </c>
      <c r="G16" s="51">
        <v>140</v>
      </c>
      <c r="H16" s="51">
        <v>500</v>
      </c>
      <c r="I16" s="51">
        <v>1</v>
      </c>
      <c r="J16" s="52" t="s">
        <v>287</v>
      </c>
      <c r="K16" s="53">
        <v>20200907</v>
      </c>
      <c r="L16" s="51" t="s">
        <v>287</v>
      </c>
    </row>
    <row r="17" spans="1:12">
      <c r="A17" s="51" t="s">
        <v>353</v>
      </c>
      <c r="C17" s="55"/>
      <c r="D17" s="51" t="s">
        <v>287</v>
      </c>
      <c r="F17" s="51">
        <v>0</v>
      </c>
      <c r="G17" s="51">
        <v>155</v>
      </c>
      <c r="H17" s="51">
        <v>1500</v>
      </c>
      <c r="I17" s="51">
        <v>3</v>
      </c>
      <c r="J17" s="52" t="s">
        <v>287</v>
      </c>
      <c r="K17" s="53">
        <v>20200924</v>
      </c>
      <c r="L17" s="51" t="s">
        <v>287</v>
      </c>
    </row>
    <row r="18" spans="1:12">
      <c r="A18" s="51" t="s">
        <v>354</v>
      </c>
      <c r="C18" s="55"/>
      <c r="D18" s="51" t="s">
        <v>287</v>
      </c>
      <c r="F18" s="51">
        <v>0</v>
      </c>
      <c r="G18" s="51">
        <v>165</v>
      </c>
      <c r="H18" s="51">
        <v>700</v>
      </c>
      <c r="I18" s="51">
        <v>1</v>
      </c>
      <c r="J18" s="52" t="s">
        <v>287</v>
      </c>
      <c r="K18" s="53">
        <v>20200830</v>
      </c>
      <c r="L18" s="51" t="s">
        <v>287</v>
      </c>
    </row>
    <row r="19" spans="1:12">
      <c r="A19" s="51" t="s">
        <v>355</v>
      </c>
      <c r="C19" s="55"/>
      <c r="D19" s="51" t="s">
        <v>287</v>
      </c>
      <c r="F19" s="51">
        <v>0</v>
      </c>
      <c r="G19" s="51">
        <v>165</v>
      </c>
      <c r="H19" s="51">
        <v>1000</v>
      </c>
      <c r="I19" s="51">
        <v>2</v>
      </c>
      <c r="J19" s="52" t="s">
        <v>287</v>
      </c>
      <c r="K19" s="53">
        <v>20201005</v>
      </c>
      <c r="L19" s="51" t="s">
        <v>287</v>
      </c>
    </row>
    <row r="20" spans="1:12">
      <c r="A20" s="51" t="s">
        <v>356</v>
      </c>
      <c r="C20" s="55"/>
      <c r="D20" s="51" t="s">
        <v>287</v>
      </c>
      <c r="F20" s="51">
        <v>0</v>
      </c>
      <c r="G20" s="51">
        <v>90</v>
      </c>
      <c r="H20" s="51" t="s">
        <v>287</v>
      </c>
      <c r="I20" s="51">
        <v>4</v>
      </c>
      <c r="J20" s="52" t="s">
        <v>287</v>
      </c>
      <c r="K20" s="53" t="s">
        <v>287</v>
      </c>
      <c r="L20" s="51" t="s">
        <v>287</v>
      </c>
    </row>
    <row r="21" spans="1:12">
      <c r="A21" s="51" t="s">
        <v>357</v>
      </c>
      <c r="C21" s="55"/>
      <c r="D21" s="51" t="s">
        <v>287</v>
      </c>
      <c r="F21" s="51">
        <v>0</v>
      </c>
      <c r="G21" s="51">
        <v>165</v>
      </c>
      <c r="H21" s="51">
        <v>1500</v>
      </c>
      <c r="I21" s="51">
        <v>3</v>
      </c>
      <c r="J21" s="52" t="s">
        <v>287</v>
      </c>
      <c r="K21" s="53">
        <v>20201012</v>
      </c>
      <c r="L21" s="51" t="s">
        <v>287</v>
      </c>
    </row>
    <row r="22" spans="1:12">
      <c r="A22" s="51" t="s">
        <v>358</v>
      </c>
      <c r="C22" s="55"/>
      <c r="D22" s="51" t="s">
        <v>287</v>
      </c>
      <c r="F22" s="51">
        <v>0</v>
      </c>
      <c r="G22" s="51">
        <v>205</v>
      </c>
      <c r="H22" s="51">
        <v>1500</v>
      </c>
      <c r="I22" s="51" t="s">
        <v>287</v>
      </c>
      <c r="J22" s="52" t="s">
        <v>287</v>
      </c>
      <c r="K22" s="53">
        <v>20200702</v>
      </c>
      <c r="L22" s="51" t="s">
        <v>287</v>
      </c>
    </row>
    <row r="23" spans="1:12">
      <c r="A23" s="51" t="s">
        <v>359</v>
      </c>
      <c r="C23" s="55"/>
      <c r="D23" s="51" t="s">
        <v>287</v>
      </c>
      <c r="F23" s="51">
        <v>0</v>
      </c>
      <c r="G23" s="51">
        <v>185</v>
      </c>
      <c r="H23" s="51">
        <v>1500</v>
      </c>
      <c r="I23" s="51" t="s">
        <v>287</v>
      </c>
      <c r="J23" s="52" t="s">
        <v>287</v>
      </c>
      <c r="K23" s="53">
        <v>20201013</v>
      </c>
      <c r="L23" s="51" t="s">
        <v>287</v>
      </c>
    </row>
    <row r="24" spans="1:12">
      <c r="A24" s="51" t="s">
        <v>360</v>
      </c>
      <c r="C24" s="55"/>
      <c r="D24" s="51" t="s">
        <v>287</v>
      </c>
      <c r="F24" s="51">
        <v>1</v>
      </c>
      <c r="G24" s="51">
        <v>185</v>
      </c>
      <c r="H24" s="51">
        <v>600</v>
      </c>
      <c r="I24" s="51">
        <v>1</v>
      </c>
      <c r="J24" s="52" t="s">
        <v>287</v>
      </c>
      <c r="K24" s="53">
        <v>20200528</v>
      </c>
      <c r="L24" s="51" t="s">
        <v>287</v>
      </c>
    </row>
    <row r="25" spans="1:12">
      <c r="A25" s="51" t="s">
        <v>361</v>
      </c>
      <c r="B25" s="51">
        <v>1</v>
      </c>
      <c r="C25" s="55"/>
      <c r="D25" s="51" t="s">
        <v>287</v>
      </c>
      <c r="F25" s="51">
        <v>1</v>
      </c>
      <c r="G25" s="51">
        <v>185</v>
      </c>
      <c r="H25" s="51">
        <v>600</v>
      </c>
      <c r="I25" s="51">
        <v>1</v>
      </c>
      <c r="J25" s="52" t="s">
        <v>287</v>
      </c>
      <c r="K25" s="53">
        <v>20200424</v>
      </c>
      <c r="L25" s="51" t="s">
        <v>287</v>
      </c>
    </row>
    <row r="26" spans="1:12">
      <c r="A26" s="51" t="s">
        <v>362</v>
      </c>
      <c r="C26" s="55">
        <v>7150</v>
      </c>
      <c r="D26" s="51">
        <v>138613</v>
      </c>
      <c r="E26" s="51">
        <v>500</v>
      </c>
      <c r="F26" s="51">
        <v>0</v>
      </c>
      <c r="G26" s="51">
        <v>165</v>
      </c>
      <c r="H26" s="51">
        <v>700</v>
      </c>
      <c r="I26" s="51">
        <v>2</v>
      </c>
      <c r="J26" s="52" t="s">
        <v>340</v>
      </c>
      <c r="K26" s="53">
        <v>20210218</v>
      </c>
      <c r="L26" s="51">
        <v>3</v>
      </c>
    </row>
    <row r="27" spans="1:12">
      <c r="A27" s="51" t="s">
        <v>367</v>
      </c>
      <c r="C27" s="55">
        <v>15400</v>
      </c>
      <c r="D27" s="51">
        <v>138612</v>
      </c>
      <c r="E27" s="51">
        <v>500</v>
      </c>
      <c r="F27" s="51">
        <v>1</v>
      </c>
      <c r="G27" s="51">
        <v>185</v>
      </c>
      <c r="H27" s="51">
        <v>550</v>
      </c>
      <c r="I27" s="51">
        <v>1</v>
      </c>
      <c r="J27" s="52" t="s">
        <v>340</v>
      </c>
      <c r="K27" s="53">
        <v>20210218</v>
      </c>
      <c r="L27" s="51">
        <v>3</v>
      </c>
    </row>
    <row r="28" spans="1:12">
      <c r="A28" s="51" t="s">
        <v>369</v>
      </c>
      <c r="C28" s="55" t="s">
        <v>287</v>
      </c>
      <c r="D28" s="51" t="s">
        <v>287</v>
      </c>
      <c r="E28" s="51">
        <v>500</v>
      </c>
      <c r="F28" s="51">
        <v>0</v>
      </c>
      <c r="G28" s="51">
        <v>205</v>
      </c>
      <c r="H28" s="51">
        <v>800</v>
      </c>
      <c r="I28" s="51">
        <v>2</v>
      </c>
      <c r="J28" s="52" t="s">
        <v>340</v>
      </c>
      <c r="K28" s="53">
        <v>20210218</v>
      </c>
      <c r="L28" s="51" t="s">
        <v>287</v>
      </c>
    </row>
    <row r="29" spans="1:12">
      <c r="A29" s="51" t="s">
        <v>373</v>
      </c>
      <c r="C29" s="55">
        <v>14300</v>
      </c>
      <c r="D29" s="51">
        <v>138616</v>
      </c>
      <c r="E29" s="51">
        <v>1000</v>
      </c>
      <c r="F29" s="51">
        <v>0</v>
      </c>
      <c r="G29" s="51">
        <v>125</v>
      </c>
      <c r="H29" s="51">
        <v>1100</v>
      </c>
      <c r="I29" s="52" t="s">
        <v>371</v>
      </c>
      <c r="J29" s="52" t="s">
        <v>340</v>
      </c>
      <c r="K29" s="53">
        <v>20210219</v>
      </c>
      <c r="L29" s="51">
        <v>3</v>
      </c>
    </row>
    <row r="30" spans="1:12">
      <c r="A30" s="51" t="s">
        <v>372</v>
      </c>
      <c r="C30" s="55">
        <v>7150</v>
      </c>
      <c r="D30" s="51">
        <v>138615</v>
      </c>
      <c r="E30" s="51">
        <v>500</v>
      </c>
      <c r="F30" s="51">
        <v>0</v>
      </c>
      <c r="G30" s="51">
        <v>125</v>
      </c>
      <c r="H30" s="51">
        <v>560</v>
      </c>
      <c r="I30" s="52" t="s">
        <v>370</v>
      </c>
      <c r="J30" s="52" t="s">
        <v>340</v>
      </c>
      <c r="K30" s="53">
        <v>20210219</v>
      </c>
      <c r="L30" s="51">
        <v>3</v>
      </c>
    </row>
    <row r="31" spans="1:12">
      <c r="A31" s="51" t="s">
        <v>375</v>
      </c>
      <c r="C31" s="55">
        <v>14300</v>
      </c>
      <c r="D31" s="51">
        <v>138622</v>
      </c>
      <c r="E31" s="51">
        <v>1000</v>
      </c>
      <c r="F31" s="51">
        <v>1</v>
      </c>
      <c r="G31" s="51">
        <v>125</v>
      </c>
      <c r="H31" s="51">
        <v>262</v>
      </c>
      <c r="I31" s="52" t="s">
        <v>370</v>
      </c>
      <c r="J31" s="52" t="s">
        <v>340</v>
      </c>
      <c r="K31" s="53">
        <v>20210225</v>
      </c>
      <c r="L31" s="51" t="s">
        <v>287</v>
      </c>
    </row>
    <row r="32" spans="1:12">
      <c r="C32" s="55"/>
      <c r="I32" s="52"/>
      <c r="J32" s="52"/>
      <c r="K32" s="53"/>
    </row>
    <row r="33" spans="9:9">
      <c r="I33" s="52"/>
    </row>
    <row r="34" spans="9:9">
      <c r="I34" s="52"/>
    </row>
    <row r="35" spans="9:9">
      <c r="I35" s="52"/>
    </row>
    <row r="36" spans="9:9">
      <c r="I36" s="52"/>
    </row>
    <row r="37" spans="9:9">
      <c r="I37" s="52"/>
    </row>
    <row r="38" spans="9:9">
      <c r="I38" s="52"/>
    </row>
    <row r="39" spans="9:9">
      <c r="I39" s="52"/>
    </row>
    <row r="40" spans="9:9">
      <c r="I40" s="52"/>
    </row>
    <row r="41" spans="9:9">
      <c r="I41" s="52"/>
    </row>
    <row r="42" spans="9:9">
      <c r="I42" s="52"/>
    </row>
    <row r="43" spans="9:9">
      <c r="I43" s="52"/>
    </row>
    <row r="44" spans="9:9">
      <c r="I44" s="52"/>
    </row>
    <row r="45" spans="9:9">
      <c r="I45" s="52"/>
    </row>
    <row r="46" spans="9:9">
      <c r="I46" s="52"/>
    </row>
    <row r="47" spans="9:9">
      <c r="I47" s="52"/>
    </row>
    <row r="48" spans="9:9">
      <c r="I48" s="52"/>
    </row>
    <row r="49" spans="9:9">
      <c r="I49" s="52"/>
    </row>
    <row r="50" spans="9:9">
      <c r="I50" s="52"/>
    </row>
    <row r="51" spans="9:9">
      <c r="I51" s="52"/>
    </row>
    <row r="52" spans="9:9">
      <c r="I52" s="52"/>
    </row>
    <row r="53" spans="9:9">
      <c r="I53" s="52"/>
    </row>
    <row r="54" spans="9:9">
      <c r="I54" s="52"/>
    </row>
    <row r="55" spans="9:9">
      <c r="I55" s="52"/>
    </row>
    <row r="56" spans="9:9">
      <c r="I56" s="52"/>
    </row>
    <row r="57" spans="9:9">
      <c r="I57" s="52"/>
    </row>
    <row r="58" spans="9:9">
      <c r="I58" s="52"/>
    </row>
    <row r="59" spans="9:9">
      <c r="I59" s="52"/>
    </row>
    <row r="60" spans="9:9">
      <c r="I60" s="52"/>
    </row>
    <row r="61" spans="9:9">
      <c r="I61" s="52"/>
    </row>
    <row r="62" spans="9:9">
      <c r="I62" s="52"/>
    </row>
    <row r="63" spans="9:9">
      <c r="I63" s="52"/>
    </row>
    <row r="64" spans="9:9">
      <c r="I64" s="52"/>
    </row>
    <row r="65" spans="9:9">
      <c r="I65" s="52"/>
    </row>
    <row r="66" spans="9:9">
      <c r="I66" s="52"/>
    </row>
    <row r="67" spans="9:9">
      <c r="I67" s="52"/>
    </row>
    <row r="68" spans="9:9">
      <c r="I68" s="52"/>
    </row>
    <row r="69" spans="9:9">
      <c r="I69" s="52"/>
    </row>
    <row r="70" spans="9:9">
      <c r="I70" s="52"/>
    </row>
    <row r="71" spans="9:9">
      <c r="I71" s="52"/>
    </row>
    <row r="72" spans="9:9">
      <c r="I72" s="52"/>
    </row>
    <row r="73" spans="9:9">
      <c r="I73" s="52"/>
    </row>
    <row r="74" spans="9:9">
      <c r="I74" s="52"/>
    </row>
    <row r="75" spans="9:9">
      <c r="I75" s="52"/>
    </row>
    <row r="76" spans="9:9">
      <c r="I76" s="52"/>
    </row>
    <row r="77" spans="9:9">
      <c r="I77" s="52"/>
    </row>
    <row r="78" spans="9:9">
      <c r="I78" s="52"/>
    </row>
    <row r="79" spans="9:9">
      <c r="I79" s="52"/>
    </row>
    <row r="80" spans="9:9">
      <c r="I80" s="52"/>
    </row>
    <row r="81" spans="9:9">
      <c r="I81" s="52"/>
    </row>
    <row r="82" spans="9:9">
      <c r="I82" s="52"/>
    </row>
    <row r="83" spans="9:9">
      <c r="I83" s="52"/>
    </row>
    <row r="84" spans="9:9">
      <c r="I84" s="52"/>
    </row>
    <row r="85" spans="9:9">
      <c r="I85" s="52"/>
    </row>
    <row r="86" spans="9:9">
      <c r="I86" s="52"/>
    </row>
    <row r="87" spans="9:9">
      <c r="I87" s="52"/>
    </row>
    <row r="88" spans="9:9">
      <c r="I88" s="52"/>
    </row>
    <row r="89" spans="9:9">
      <c r="I89" s="52"/>
    </row>
    <row r="90" spans="9:9">
      <c r="I90" s="52"/>
    </row>
    <row r="91" spans="9:9">
      <c r="I91" s="52"/>
    </row>
    <row r="92" spans="9:9">
      <c r="I92" s="52"/>
    </row>
    <row r="93" spans="9:9">
      <c r="I93" s="52"/>
    </row>
    <row r="94" spans="9:9">
      <c r="I94" s="52"/>
    </row>
    <row r="95" spans="9:9">
      <c r="I95" s="52"/>
    </row>
    <row r="96" spans="9:9">
      <c r="I96" s="52"/>
    </row>
    <row r="97" spans="9:9">
      <c r="I97" s="52"/>
    </row>
    <row r="98" spans="9:9">
      <c r="I98" s="52"/>
    </row>
    <row r="99" spans="9:9">
      <c r="I99" s="52"/>
    </row>
    <row r="100" spans="9:9">
      <c r="I100" s="52"/>
    </row>
    <row r="101" spans="9:9">
      <c r="I101" s="5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PaperSummary</vt:lpstr>
      <vt:lpstr>Paper</vt:lpstr>
      <vt:lpstr>INK</vt:lpstr>
      <vt:lpstr>Others</vt:lpstr>
      <vt:lpstr>Change Log</vt:lpstr>
      <vt:lpstr>Storage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2021-03-02T00:34:15Z</dcterms:modified>
</cp:coreProperties>
</file>