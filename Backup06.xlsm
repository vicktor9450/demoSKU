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E381520E-1638-454F-8F8C-C8482FB43A7B}" xr6:coauthVersionLast="45" xr6:coauthVersionMax="45" xr10:uidLastSave="{00000000-0000-0000-0000-000000000000}"/>
  <bookViews>
    <workbookView xWindow="0" yWindow="500" windowWidth="25600" windowHeight="12800" xr2:uid="{00000000-000D-0000-FFFF-FFFF00000000}"/>
  </bookViews>
  <sheets>
    <sheet name="PaperSummary" sheetId="317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Paper!$A$5:$J$160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8"/>
  </pivotCaches>
</workbook>
</file>

<file path=xl/calcChain.xml><?xml version="1.0" encoding="utf-8"?>
<calcChain xmlns="http://schemas.openxmlformats.org/spreadsheetml/2006/main">
  <c r="G160" i="2" l="1"/>
  <c r="I160" i="2" s="1"/>
  <c r="K160" i="2"/>
  <c r="G159" i="2"/>
  <c r="I159" i="2" s="1"/>
  <c r="K159" i="2"/>
  <c r="B1" i="317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<sst xmlns="http://schemas.openxmlformats.org/spreadsheetml/2006/main" count="970" uniqueCount="330">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</sst>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35.704905671293" createdVersion="3" refreshedVersion="6" minRefreshableVersion="3" recordCount="154" xr:uid="{5A2E3B2E-96FE-D747-8894-52CD3F4419FE}">
  <cacheSource type="worksheet">
    <worksheetSource ref="A5:K159" sheet="Paper"/>
  </cacheSource>
  <cacheFields count="11">
    <cacheField name="Arrival" numFmtId="49">
      <sharedItems count="62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21">
        <n v="600"/>
        <m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100"/>
        <n v="200"/>
        <n v="320"/>
        <n v="12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28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0"/>
    <x v="0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3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4"/>
    <x v="5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6"/>
    <x v="0"/>
    <x v="0"/>
    <x v="34"/>
  </r>
  <r>
    <x v="47"/>
    <x v="0"/>
    <x v="16"/>
    <x v="1"/>
    <x v="0"/>
    <x v="0"/>
    <x v="0"/>
    <x v="8"/>
    <x v="6"/>
    <x v="0"/>
    <x v="26"/>
  </r>
  <r>
    <x v="48"/>
    <x v="0"/>
    <x v="4"/>
    <x v="1"/>
    <x v="0"/>
    <x v="0"/>
    <x v="0"/>
    <x v="17"/>
    <x v="16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8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5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1"/>
    <x v="1"/>
    <x v="0"/>
    <x v="10"/>
  </r>
  <r>
    <x v="55"/>
    <x v="0"/>
    <x v="7"/>
    <x v="1"/>
    <x v="0"/>
    <x v="0"/>
    <x v="0"/>
    <x v="14"/>
    <x v="17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3"/>
    <x v="4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19"/>
    <x v="19"/>
    <x v="0"/>
    <x v="5"/>
  </r>
  <r>
    <x v="58"/>
    <x v="3"/>
    <x v="19"/>
    <x v="1"/>
    <x v="2"/>
    <x v="0"/>
    <x v="3"/>
    <x v="1"/>
    <x v="3"/>
    <x v="0"/>
    <x v="37"/>
  </r>
  <r>
    <x v="58"/>
    <x v="3"/>
    <x v="19"/>
    <x v="1"/>
    <x v="5"/>
    <x v="0"/>
    <x v="6"/>
    <x v="1"/>
    <x v="12"/>
    <x v="0"/>
    <x v="37"/>
  </r>
  <r>
    <x v="59"/>
    <x v="0"/>
    <x v="0"/>
    <x v="0"/>
    <x v="0"/>
    <x v="0"/>
    <x v="0"/>
    <x v="17"/>
    <x v="16"/>
    <x v="0"/>
    <x v="0"/>
  </r>
  <r>
    <x v="59"/>
    <x v="0"/>
    <x v="7"/>
    <x v="1"/>
    <x v="0"/>
    <x v="0"/>
    <x v="0"/>
    <x v="1"/>
    <x v="1"/>
    <x v="0"/>
    <x v="8"/>
  </r>
  <r>
    <x v="59"/>
    <x v="0"/>
    <x v="7"/>
    <x v="1"/>
    <x v="0"/>
    <x v="0"/>
    <x v="0"/>
    <x v="1"/>
    <x v="1"/>
    <x v="0"/>
    <x v="8"/>
  </r>
  <r>
    <x v="59"/>
    <x v="0"/>
    <x v="4"/>
    <x v="1"/>
    <x v="0"/>
    <x v="0"/>
    <x v="0"/>
    <x v="1"/>
    <x v="1"/>
    <x v="0"/>
    <x v="9"/>
  </r>
  <r>
    <x v="60"/>
    <x v="3"/>
    <x v="16"/>
    <x v="1"/>
    <x v="1"/>
    <x v="0"/>
    <x v="2"/>
    <x v="20"/>
    <x v="20"/>
    <x v="0"/>
    <x v="38"/>
  </r>
  <r>
    <x v="61"/>
    <x v="0"/>
    <x v="7"/>
    <x v="1"/>
    <x v="0"/>
    <x v="0"/>
    <x v="0"/>
    <x v="1"/>
    <x v="1"/>
    <x v="0"/>
    <x v="8"/>
  </r>
  <r>
    <x v="61"/>
    <x v="0"/>
    <x v="0"/>
    <x v="1"/>
    <x v="0"/>
    <x v="0"/>
    <x v="0"/>
    <x v="1"/>
    <x v="1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B69F6A-29DD-8045-8F12-FAA31DA62B0F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2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5"/>
        <item x="57"/>
        <item x="61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13"/>
        <item x="7"/>
        <item x="15"/>
        <item x="17"/>
        <item x="20"/>
        <item x="6"/>
        <item x="18"/>
        <item x="14"/>
        <item x="8"/>
        <item x="19"/>
        <item x="12"/>
        <item x="2"/>
        <item x="9"/>
        <item x="4"/>
        <item x="3"/>
        <item x="5"/>
        <item x="10"/>
        <item x="11"/>
        <item x="0"/>
        <item x="16"/>
        <item x="1"/>
      </items>
    </pivotField>
    <pivotField dataField="1" showAll="0" defaultSubtotal="0">
      <items count="21">
        <item x="0"/>
        <item x="13"/>
        <item x="8"/>
        <item x="7"/>
        <item x="4"/>
        <item x="11"/>
        <item x="14"/>
        <item x="5"/>
        <item x="10"/>
        <item x="9"/>
        <item x="20"/>
        <item x="3"/>
        <item x="19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60" headerRowDxfId="39" dataDxfId="38" totalsRowDxfId="37">
  <autoFilter ref="A5:K16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213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C4E6E-2284-724A-999A-D22DB6263AC2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3.8984375" bestFit="1" customWidth="1"/>
    <col min="11" max="14" width="5.59765625" bestFit="1" customWidth="1"/>
    <col min="15" max="15" width="7.59765625" bestFit="1" customWidth="1"/>
    <col min="16" max="16" width="4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4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44235.704861111109</v>
      </c>
    </row>
    <row r="2" spans="2:26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2:26">
      <c r="B3" s="52"/>
      <c r="C3" s="51">
        <v>40</v>
      </c>
      <c r="D3" s="51">
        <v>90</v>
      </c>
      <c r="E3" s="51">
        <v>100</v>
      </c>
      <c r="F3" s="51">
        <v>110</v>
      </c>
      <c r="G3" s="51">
        <v>115</v>
      </c>
      <c r="H3" s="51">
        <v>120</v>
      </c>
      <c r="I3" s="53">
        <v>125</v>
      </c>
      <c r="J3" s="54"/>
      <c r="K3" s="51">
        <v>130</v>
      </c>
      <c r="L3" s="51">
        <v>135</v>
      </c>
      <c r="M3" s="51">
        <v>140</v>
      </c>
      <c r="N3" s="51">
        <v>150</v>
      </c>
      <c r="O3" s="53">
        <v>155</v>
      </c>
      <c r="P3" s="54"/>
      <c r="Q3" s="51">
        <v>160</v>
      </c>
      <c r="R3" s="51">
        <v>165</v>
      </c>
      <c r="S3" s="51">
        <v>175</v>
      </c>
      <c r="T3" s="53">
        <v>185</v>
      </c>
      <c r="U3" s="54"/>
      <c r="V3" s="53">
        <v>205</v>
      </c>
      <c r="W3" s="54"/>
      <c r="X3" s="51">
        <v>210</v>
      </c>
      <c r="Y3" s="51">
        <v>215</v>
      </c>
      <c r="Z3" s="51">
        <v>220</v>
      </c>
    </row>
    <row r="4" spans="2:26">
      <c r="B4" s="7" t="s">
        <v>0</v>
      </c>
      <c r="C4" s="51" t="s">
        <v>253</v>
      </c>
      <c r="D4" s="51" t="s">
        <v>253</v>
      </c>
      <c r="E4" s="51" t="s">
        <v>253</v>
      </c>
      <c r="F4" s="51" t="s">
        <v>253</v>
      </c>
      <c r="G4" s="51" t="s">
        <v>253</v>
      </c>
      <c r="H4" s="51" t="s">
        <v>253</v>
      </c>
      <c r="I4" s="51" t="s">
        <v>261</v>
      </c>
      <c r="J4" s="51" t="s">
        <v>253</v>
      </c>
      <c r="K4" s="51" t="s">
        <v>253</v>
      </c>
      <c r="L4" s="51" t="s">
        <v>253</v>
      </c>
      <c r="M4" s="51" t="s">
        <v>253</v>
      </c>
      <c r="N4" s="51" t="s">
        <v>253</v>
      </c>
      <c r="O4" s="51" t="s">
        <v>261</v>
      </c>
      <c r="P4" s="51" t="s">
        <v>253</v>
      </c>
      <c r="Q4" s="51" t="s">
        <v>253</v>
      </c>
      <c r="R4" s="51" t="s">
        <v>253</v>
      </c>
      <c r="S4" s="51" t="s">
        <v>253</v>
      </c>
      <c r="T4" s="51" t="s">
        <v>261</v>
      </c>
      <c r="U4" s="51" t="s">
        <v>253</v>
      </c>
      <c r="V4" s="51" t="s">
        <v>261</v>
      </c>
      <c r="W4" s="51" t="s">
        <v>253</v>
      </c>
      <c r="X4" s="51" t="s">
        <v>253</v>
      </c>
      <c r="Y4" s="51" t="s">
        <v>253</v>
      </c>
      <c r="Z4" s="51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1620</v>
      </c>
      <c r="E17" s="6"/>
      <c r="F17" s="6"/>
      <c r="G17" s="6">
        <v>300</v>
      </c>
      <c r="H17" s="6"/>
      <c r="I17" s="6">
        <v>1300</v>
      </c>
      <c r="J17" s="6">
        <v>600</v>
      </c>
      <c r="K17" s="6"/>
      <c r="L17" s="6"/>
      <c r="M17" s="6">
        <v>0</v>
      </c>
      <c r="N17" s="6"/>
      <c r="O17" s="6">
        <v>280</v>
      </c>
      <c r="P17" s="6">
        <v>1100</v>
      </c>
      <c r="Q17" s="6"/>
      <c r="R17" s="6">
        <v>2150</v>
      </c>
      <c r="S17" s="6"/>
      <c r="T17" s="6">
        <v>500</v>
      </c>
      <c r="U17" s="6">
        <v>700</v>
      </c>
      <c r="V17" s="6">
        <v>20</v>
      </c>
      <c r="W17" s="6">
        <v>650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60"/>
  <sheetViews>
    <sheetView zoomScale="150" zoomScaleNormal="150" workbookViewId="0">
      <pane ySplit="5" topLeftCell="A152" activePane="bottomLeft" state="frozen"/>
      <selection pane="bottomLeft" activeCell="A160" sqref="A160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250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600</v>
      </c>
      <c r="I12" s="17">
        <f t="shared" si="1"/>
        <v>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500</v>
      </c>
      <c r="I120" s="17">
        <f t="shared" ref="I120:I126" si="20">G120-H120</f>
        <v>100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100</v>
      </c>
      <c r="I129" s="17">
        <f t="shared" si="22"/>
        <v>500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/>
      <c r="I144" s="17">
        <f t="shared" si="26"/>
        <v>600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250</v>
      </c>
      <c r="I145" s="17">
        <f t="shared" si="26"/>
        <v>350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320</v>
      </c>
      <c r="I150" s="17">
        <f t="shared" si="26"/>
        <v>280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100</v>
      </c>
      <c r="I153" s="17">
        <f t="shared" si="28"/>
        <v>500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/>
      <c r="I155" s="17">
        <f t="shared" si="28"/>
        <v>600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>F158*E158</f>
        <v>600</v>
      </c>
      <c r="H158" s="17"/>
      <c r="I158" s="17">
        <f>G158-H158</f>
        <v>600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>F159*E159</f>
        <v>600</v>
      </c>
      <c r="H159" s="17"/>
      <c r="I159" s="17">
        <f>G159-H159</f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>
      <c r="A160" s="15"/>
      <c r="B160" s="16"/>
      <c r="C160" s="17"/>
      <c r="D160" s="17"/>
      <c r="E160" s="17"/>
      <c r="F160" s="17"/>
      <c r="G160" s="17">
        <f>F160*E160</f>
        <v>0</v>
      </c>
      <c r="H160" s="17"/>
      <c r="I160" s="17">
        <f>G160-H160</f>
        <v>0</v>
      </c>
      <c r="J160" s="17"/>
      <c r="K160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D240" sqref="D240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>
        <v>213</v>
      </c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 hidden="1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 hidden="1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 hidden="1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 hidden="1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 hidden="1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 hidden="1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 hidden="1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 hidden="1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 hidden="1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 hidden="1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 hidden="1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 hidden="1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 hidden="1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 hidden="1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 hidden="1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 hidden="1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 hidden="1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 hidden="1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 hidden="1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 hidden="1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 hidden="1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 hidden="1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 hidden="1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 hidden="1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 hidden="1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 hidden="1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 hidden="1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 hidden="1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 hidden="1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 hidden="1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 hidden="1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 hidden="1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 hidden="1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 hidden="1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 hidden="1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 hidden="1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 hidden="1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 hidden="1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 hidden="1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 hidden="1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 hidden="1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 hidden="1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 hidden="1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 hidden="1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 hidden="1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 hidden="1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 hidden="1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 hidden="1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 hidden="1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 hidden="1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 hidden="1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 hidden="1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 hidden="1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 hidden="1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 hidden="1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 hidden="1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 hidden="1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 hidden="1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 hidden="1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 hidden="1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 hidden="1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 hidden="1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 hidden="1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 hidden="1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 hidden="1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 hidden="1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 hidden="1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 hidden="1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 hidden="1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 hidden="1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 hidden="1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 hidden="1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 hidden="1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 hidden="1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 hidden="1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 hidden="1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 hidden="1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 hidden="1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 hidden="1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 hidden="1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 hidden="1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 hidden="1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 hidden="1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 hidden="1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 hidden="1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 hidden="1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 hidden="1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 hidden="1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 hidden="1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 hidden="1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 hidden="1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 hidden="1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 hidden="1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 hidden="1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 hidden="1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 hidden="1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 hidden="1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 hidden="1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 hidden="1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 hidden="1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 hidden="1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 hidden="1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 hidden="1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 hidden="1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 hidden="1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 hidden="1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 hidden="1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 hidden="1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 hidden="1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 hidden="1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 hidden="1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 hidden="1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 hidden="1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 hidden="1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 hidden="1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 hidden="1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 hidden="1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 hidden="1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 hidden="1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 hidden="1">
      <c r="A126" s="22">
        <v>126</v>
      </c>
      <c r="B126" s="20" t="s">
        <v>22</v>
      </c>
      <c r="C126" s="20">
        <v>313</v>
      </c>
      <c r="D126" s="20" t="s">
        <v>244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 hidden="1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 hidden="1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 hidden="1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 hidden="1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 hidden="1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 hidden="1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 hidden="1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 hidden="1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 hidden="1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 hidden="1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 hidden="1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 hidden="1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 hidden="1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 hidden="1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 hidden="1">
      <c r="A141" s="22">
        <v>142</v>
      </c>
      <c r="B141" s="20" t="s">
        <v>22</v>
      </c>
      <c r="C141" s="20">
        <v>212</v>
      </c>
      <c r="D141" s="20" t="s">
        <v>75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</v>
      </c>
    </row>
    <row r="142" spans="1:8" ht="20" hidden="1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 hidden="1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 hidden="1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 hidden="1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 hidden="1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 hidden="1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 hidden="1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 hidden="1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 hidden="1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 hidden="1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 hidden="1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 hidden="1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 hidden="1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 hidden="1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 hidden="1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 hidden="1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 hidden="1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 hidden="1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 hidden="1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 hidden="1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 hidden="1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 hidden="1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 hidden="1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 hidden="1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 hidden="1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 hidden="1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 hidden="1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 hidden="1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 hidden="1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 hidden="1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 hidden="1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 hidden="1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 hidden="1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 hidden="1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 hidden="1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 hidden="1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 hidden="1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 hidden="1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 hidden="1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 hidden="1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 hidden="1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 hidden="1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 hidden="1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 hidden="1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 hidden="1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 hidden="1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 hidden="1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 hidden="1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 hidden="1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 hidden="1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 hidden="1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 hidden="1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 hidden="1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 hidden="1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 hidden="1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 hidden="1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 hidden="1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 hidden="1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 hidden="1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 hidden="1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 hidden="1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 hidden="1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 hidden="1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328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5LX4 青</v>
      </c>
    </row>
    <row r="206" spans="1:8" ht="20" hidden="1">
      <c r="A206" s="25"/>
      <c r="B206" s="26" t="s">
        <v>22</v>
      </c>
      <c r="C206" s="26">
        <v>273</v>
      </c>
      <c r="D206" s="26" t="s">
        <v>240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 hidden="1">
      <c r="A207" s="25"/>
      <c r="B207" s="26" t="s">
        <v>22</v>
      </c>
      <c r="C207" s="26">
        <v>2103</v>
      </c>
      <c r="D207" s="26" t="s">
        <v>241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 hidden="1">
      <c r="A208" s="25"/>
      <c r="B208" s="26" t="s">
        <v>22</v>
      </c>
      <c r="C208" s="26">
        <v>2103</v>
      </c>
      <c r="D208" s="26" t="s">
        <v>242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 hidden="1">
      <c r="A209" s="25"/>
      <c r="B209" s="26" t="s">
        <v>22</v>
      </c>
      <c r="C209" s="26">
        <v>2103</v>
      </c>
      <c r="D209" s="26" t="s">
        <v>243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 hidden="1">
      <c r="A210" s="25"/>
      <c r="B210" s="26" t="s">
        <v>22</v>
      </c>
      <c r="C210" s="26">
        <v>353</v>
      </c>
      <c r="D210" s="26" t="s">
        <v>288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 hidden="1">
      <c r="A211" s="25"/>
      <c r="B211" s="26" t="s">
        <v>22</v>
      </c>
      <c r="C211" s="26">
        <v>102</v>
      </c>
      <c r="D211" s="26" t="s">
        <v>267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 hidden="1">
      <c r="A212" s="25"/>
      <c r="B212" s="26" t="s">
        <v>22</v>
      </c>
      <c r="C212" s="26">
        <v>131</v>
      </c>
      <c r="D212" s="45" t="s">
        <v>275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 hidden="1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 hidden="1">
      <c r="A214" s="25"/>
      <c r="B214" s="26" t="s">
        <v>22</v>
      </c>
      <c r="C214" s="26">
        <v>131</v>
      </c>
      <c r="D214" s="26" t="s">
        <v>275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 hidden="1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 hidden="1">
      <c r="A216" s="25"/>
      <c r="B216" s="26" t="s">
        <v>214</v>
      </c>
      <c r="C216" s="26">
        <v>102</v>
      </c>
      <c r="D216" s="43" t="s">
        <v>291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 hidden="1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 hidden="1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 hidden="1">
      <c r="A219" s="25"/>
      <c r="B219" s="26" t="s">
        <v>22</v>
      </c>
      <c r="C219" s="26">
        <v>191</v>
      </c>
      <c r="D219" s="26" t="s">
        <v>319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 hidden="1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 hidden="1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 hidden="1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 hidden="1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 hidden="1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 hidden="1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 hidden="1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 hidden="1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 hidden="1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 hidden="1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 hidden="1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 hidden="1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 hidden="1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 hidden="1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 hidden="1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 hidden="1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 hidden="1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 hidden="1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 hidden="1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 hidden="1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232</v>
      </c>
      <c r="B1" s="58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2021-02-08T07:55:06Z</dcterms:modified>
</cp:coreProperties>
</file>