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7C9D4E4E-0C85-CF4A-BC33-492ECF4F1C53}" xr6:coauthVersionLast="45" xr6:coauthVersionMax="45" xr10:uidLastSave="{00000000-0000-0000-0000-000000000000}"/>
  <bookViews>
    <workbookView xWindow="0" yWindow="460" windowWidth="25600" windowHeight="12340" xr2:uid="{00000000-000D-0000-FFFF-FFFF00000000}"/>
  </bookViews>
  <sheets>
    <sheet name="PaperSummary" sheetId="256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Paper!$A$5:$J$129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F3" i="3"/>
  <c r="I3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<sst xmlns="http://schemas.openxmlformats.org/spreadsheetml/2006/main" count="893" uniqueCount="311">
  <si>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</si>
  <si>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</si>
  <si>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</si>
  <si>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</si>
  <si>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</si>
  <si>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</si>
  <si>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</si>
  <si>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</si>
  <si>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</si>
  <si>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</si>
  <si>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</si>
  <si>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</si>
  <si>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</si>
  <si>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</si>
  <si>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</si>
  <si>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</si>
  <si>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</si>
  <si>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</si>
  <si>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</si>
  <si>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</si>
  <si>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</si>
  <si>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</si>
  <si>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</si>
  <si>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</si>
  <si>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</si>
  <si>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</si>
  <si>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</si>
  <si>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</si>
  <si>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</si>
  <si>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</si>
  <si>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</si>
  <si>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</si>
  <si>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</si>
  <si>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</si>
  <si>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</si>
  <si>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</si>
  <si>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</si>
  <si>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</si>
  <si>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</si>
  <si>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</si>
  <si>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</si>
  <si>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</si>
  <si>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</si>
  <si>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</si>
  <si>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</si>
  <si>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</si>
  <si>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</si>
  <si>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</si>
  <si>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</si>
  <si>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</si>
  <si>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</si>
  <si>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</si>
  <si>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</si>
  <si>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</si>
  <si>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</si>
  <si>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</si>
  <si>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</si>
  <si>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</si>
  <si>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</si>
  <si>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</si>
  <si>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</si>
  <si>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</si>
  <si>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</si>
  <si>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</si>
  <si>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</si>
  <si>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</si>
  <si>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</si>
  <si>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</si>
  <si>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</si>
  <si>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</si>
  <si>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</si>
  <si>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</si>
  <si>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</si>
  <si>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</si>
  <si>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</si>
  <si>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</si>
  <si>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</si>
  <si>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</si>
  <si>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</si>
  <si>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</si>
  <si>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</si>
  <si>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</si>
  <si>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</si>
  <si>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</si>
  <si>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</si>
  <si>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</si>
  <si>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</si>
  <si>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</si>
  <si>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</si>
  <si>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</si>
  <si>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</si>
  <si>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</si>
  <si>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</si>
  <si>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</si>
  <si>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</si>
  <si>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</si>
  <si>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</si>
  <si>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</si>
  <si>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</si>
  <si>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</si>
  <si>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</si>
  <si>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</si>
  <si>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</si>
  <si>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</si>
  <si>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</si>
  <si>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</si>
  <si>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</si>
  <si>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</si>
  <si>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</si>
  <si>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</si>
  <si>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</si>
  <si>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</si>
  <si>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</si>
  <si>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</si>
  <si>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</si>
  <si>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</si>
  <si>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</si>
  <si>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</si>
  <si>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</si>
  <si>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</si>
  <si>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</si>
  <si>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</si>
  <si>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</si>
  <si>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</si>
  <si>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</si>
  <si>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</si>
  <si>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</si>
  <si>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</si>
  <si>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</si>
  <si>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</si>
  <si>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</si>
  <si>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</si>
  <si>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</si>
  <si>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</si>
  <si>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</si>
  <si>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</si>
  <si>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</si>
  <si>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</si>
  <si>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</si>
  <si>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</si>
  <si>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</si>
  <si>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</si>
  <si>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</si>
  <si>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</si>
  <si>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</si>
  <si>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</si>
  <si>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</si>
  <si>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</si>
  <si>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</si>
  <si>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</si>
  <si>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</si>
  <si>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</si>
  <si>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</si>
  <si>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</si>
  <si>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</si>
  <si>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</si>
  <si>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</si>
  <si>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</si>
  <si>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</si>
  <si>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</si>
  <si>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</si>
  <si>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</si>
  <si>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</si>
  <si>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</si>
  <si>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</si>
  <si>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</si>
  <si>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</si>
  <si>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</si>
  <si>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</si>
  <si>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</si>
  <si>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</si>
  <si>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</si>
  <si>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</si>
  <si>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</si>
  <si>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</si>
  <si>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</si>
  <si>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</si>
  <si>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</si>
  <si>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</si>
  <si>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</si>
  <si>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</si>
  <si>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</si>
  <si>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</si>
  <si>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</si>
  <si>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</si>
  <si>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</si>
  <si>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</si>
  <si>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</si>
  <si>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</si>
  <si>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</si>
  <si>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</si>
  <si>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</si>
  <si>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</si>
  <si>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</si>
  <si>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</si>
  <si>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</si>
  <si>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</si>
  <si>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</si>
  <si>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</si>
  <si>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</si>
  <si>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</si>
  <si>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</si>
  <si>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</si>
  <si>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</si>
  <si>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</si>
  <si>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</si>
  <si>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</si>
  <si>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</si>
  <si>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</si>
  <si>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</si>
  <si>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</si>
  <si>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</si>
  <si>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</si>
  <si>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</si>
  <si>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</si>
  <si>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</si>
  <si>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</si>
  <si>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</si>
  <si>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</si>
  <si>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</si>
  <si>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</si>
  <si>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</si>
  <si>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</si>
  <si>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</si>
  <si>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</si>
  <si>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</si>
  <si>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</si>
  <si>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</si>
  <si>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</si>
  <si>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</si>
  <si>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</si>
  <si>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</si>
  <si>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</si>
  <si>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</si>
  <si>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</si>
  <si>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</si>
  <si>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</si>
  <si>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</si>
  <si>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</si>
  <si>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</si>
  <si>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</si>
  <si>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</si>
  <si>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</si>
  <si>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</si>
  <si>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</si>
  <si>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</si>
  <si>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</si>
  <si>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</si>
  <si>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</si>
  <si>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</si>
  <si>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</si>
  <si>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</si>
  <si>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</si>
  <si>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</si>
  <si>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</si>
  <si>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</si>
  <si>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</si>
  <si>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</si>
  <si>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</si>
  <si>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</si>
  <si>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</si>
  <si>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</si>
  <si>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</si>
  <si>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</si>
  <si>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</si>
  <si>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</si>
  <si>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</si>
  <si>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</si>
  <si>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</si>
  <si>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</si>
  <si>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</si>
  <si>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</si>
  <si>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</si>
  <si>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</si>
  <si>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</si>
  <si>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</si>
  <si>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</si>
  <si>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</si>
  <si>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</si>
  <si>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</si>
  <si>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</si>
  <si>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</si>
  <si>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</si>
  <si>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</si>
  <si>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</si>
  <si>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</si>
  <si>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</si>
  <si>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</si>
  <si>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</si>
  <si>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</si>
  <si>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</si>
  <si>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</si>
  <si>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</si>
  <si>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</si>
  <si>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</si>
  <si>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</si>
  <si>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</si>
  <si>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</si>
  <si>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</si>
  <si>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</si>
  <si>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</si>
  <si>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</si>
  <si>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</si>
  <si>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</si>
  <si>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</si>
  <si>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</si>
  <si>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</si>
  <si>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ピンク</t>
  </si>
  <si>
    <t>12/08/2020</t>
  </si>
  <si>
    <t>N アート７３ME７GB</t>
  </si>
  <si>
    <t>TWF55P16U5W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</si>
</sst>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79.365206944443" createdVersion="3" refreshedVersion="6" minRefreshableVersion="3" recordCount="123" xr:uid="{B7E593FA-C492-F24A-B571-54A2D7E989C1}">
  <cacheSource type="worksheet">
    <worksheetSource ref="A5:K128" sheet="Paper"/>
  </cacheSource>
  <cacheFields count="11">
    <cacheField name="Arrival" numFmtId="49">
      <sharedItems count="4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600" count="18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250"/>
        <n v="80"/>
        <n v="35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500"/>
        <n v="350"/>
        <n v="520"/>
        <n v="250"/>
        <n v="100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3"/>
    <x v="2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3"/>
    <x v="0"/>
    <x v="7"/>
    <x v="1"/>
    <x v="0"/>
    <x v="0"/>
    <x v="0"/>
    <x v="1"/>
    <x v="1"/>
    <x v="0"/>
    <x v="8"/>
  </r>
  <r>
    <x v="43"/>
    <x v="0"/>
    <x v="7"/>
    <x v="1"/>
    <x v="0"/>
    <x v="0"/>
    <x v="0"/>
    <x v="1"/>
    <x v="1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17"/>
    <x v="19"/>
    <x v="0"/>
    <x v="9"/>
  </r>
  <r>
    <x v="46"/>
    <x v="13"/>
    <x v="18"/>
    <x v="1"/>
    <x v="9"/>
    <x v="0"/>
    <x v="10"/>
    <x v="1"/>
    <x v="20"/>
    <x v="0"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ACF40-90AA-1F4E-96E4-4D9A31645F16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47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6"/>
        <item x="16"/>
        <item x="5"/>
        <item x="14"/>
        <item x="15"/>
        <item x="7"/>
        <item x="17"/>
        <item x="11"/>
        <item x="2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1">
        <item x="0"/>
        <item x="12"/>
        <item x="7"/>
        <item x="6"/>
        <item x="14"/>
        <item x="10"/>
        <item x="13"/>
        <item x="2"/>
        <item x="9"/>
        <item x="8"/>
        <item x="5"/>
        <item x="19"/>
        <item x="15"/>
        <item x="4"/>
        <item x="17"/>
        <item x="11"/>
        <item x="16"/>
        <item x="18"/>
        <item x="1"/>
        <item x="20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9" headerRowDxfId="39" dataDxfId="38" totalsRowDxfId="37">
  <autoFilter ref="A5:K12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ピンク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489B6-B94A-F64F-9768-6C3F649EF61D}">
  <dimension ref="B1:Y18"/>
  <sheetViews>
    <sheetView tabSelected="1" workbookViewId="0">
      <pane xSplit="2" ySplit="4" topLeftCell="H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</row>
    <row r="3" spans="2:25">
      <c r="B3" s="56"/>
      <c r="C3" s="55">
        <v>40</v>
      </c>
      <c r="D3" s="55">
        <v>90</v>
      </c>
      <c r="E3" s="55">
        <v>100</v>
      </c>
      <c r="F3" s="55">
        <v>115</v>
      </c>
      <c r="G3" s="55">
        <v>120</v>
      </c>
      <c r="H3" s="57">
        <v>125</v>
      </c>
      <c r="I3" s="58"/>
      <c r="J3" s="55">
        <v>130</v>
      </c>
      <c r="K3" s="55">
        <v>135</v>
      </c>
      <c r="L3" s="55">
        <v>140</v>
      </c>
      <c r="M3" s="55">
        <v>150</v>
      </c>
      <c r="N3" s="57">
        <v>155</v>
      </c>
      <c r="O3" s="58"/>
      <c r="P3" s="55">
        <v>160</v>
      </c>
      <c r="Q3" s="55">
        <v>165</v>
      </c>
      <c r="R3" s="55">
        <v>175</v>
      </c>
      <c r="S3" s="57">
        <v>185</v>
      </c>
      <c r="T3" s="58"/>
      <c r="U3" s="57">
        <v>205</v>
      </c>
      <c r="V3" s="58"/>
      <c r="W3" s="55">
        <v>210</v>
      </c>
      <c r="X3" s="55">
        <v>215</v>
      </c>
      <c r="Y3" s="55">
        <v>220</v>
      </c>
    </row>
    <row r="4" spans="2:25">
      <c r="B4" s="7" t="s">
        <v>0</v>
      </c>
      <c r="C4" s="55" t="s">
        <v>257</v>
      </c>
      <c r="D4" s="55" t="s">
        <v>257</v>
      </c>
      <c r="E4" s="55" t="s">
        <v>257</v>
      </c>
      <c r="F4" s="55" t="s">
        <v>257</v>
      </c>
      <c r="G4" s="55" t="s">
        <v>257</v>
      </c>
      <c r="H4" s="55" t="s">
        <v>267</v>
      </c>
      <c r="I4" s="55" t="s">
        <v>257</v>
      </c>
      <c r="J4" s="55" t="s">
        <v>257</v>
      </c>
      <c r="K4" s="55" t="s">
        <v>257</v>
      </c>
      <c r="L4" s="55" t="s">
        <v>257</v>
      </c>
      <c r="M4" s="55" t="s">
        <v>257</v>
      </c>
      <c r="N4" s="55" t="s">
        <v>267</v>
      </c>
      <c r="O4" s="55" t="s">
        <v>257</v>
      </c>
      <c r="P4" s="55" t="s">
        <v>257</v>
      </c>
      <c r="Q4" s="55" t="s">
        <v>257</v>
      </c>
      <c r="R4" s="55" t="s">
        <v>257</v>
      </c>
      <c r="S4" s="55" t="s">
        <v>267</v>
      </c>
      <c r="T4" s="55" t="s">
        <v>257</v>
      </c>
      <c r="U4" s="55" t="s">
        <v>267</v>
      </c>
      <c r="V4" s="55" t="s">
        <v>257</v>
      </c>
      <c r="W4" s="55" t="s">
        <v>257</v>
      </c>
      <c r="X4" s="55" t="s">
        <v>257</v>
      </c>
      <c r="Y4" s="55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309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310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1000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50</v>
      </c>
      <c r="G17" s="6"/>
      <c r="H17" s="6">
        <v>1300</v>
      </c>
      <c r="I17" s="6">
        <v>650</v>
      </c>
      <c r="J17" s="6"/>
      <c r="K17" s="6"/>
      <c r="L17" s="6">
        <v>600</v>
      </c>
      <c r="M17" s="6"/>
      <c r="N17" s="6">
        <v>600</v>
      </c>
      <c r="O17" s="6">
        <v>250</v>
      </c>
      <c r="P17" s="6"/>
      <c r="Q17" s="6">
        <v>1300</v>
      </c>
      <c r="R17" s="6"/>
      <c r="S17" s="6">
        <v>700</v>
      </c>
      <c r="T17" s="6">
        <v>700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9"/>
  <sheetViews>
    <sheetView zoomScale="107" zoomScaleNormal="107" workbookViewId="0">
      <pane ySplit="5" topLeftCell="A118" activePane="bottomLeft" state="frozen"/>
      <selection pane="bottomLeft" activeCell="B129" sqref="B129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61" t="s">
        <v>235</v>
      </c>
      <c r="J2" s="62"/>
      <c r="M2" s="30"/>
      <c r="N2" s="30"/>
      <c r="O2" s="30"/>
      <c r="P2" s="30"/>
    </row>
    <row r="3" spans="1:19" ht="23" thickBot="1">
      <c r="I3" s="59">
        <f>LastSavedTimeStamp()</f>
        <v>44175.426446759258</v>
      </c>
      <c r="J3" s="60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6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500</v>
      </c>
      <c r="I119" s="17">
        <f t="shared" si="18"/>
        <v>100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/>
      <c r="I122" s="17">
        <f t="shared" si="20"/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8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/>
      <c r="I123" s="17">
        <f t="shared" si="20"/>
        <v>600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/>
      <c r="I124" s="17">
        <f t="shared" si="20"/>
        <v>600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309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308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308</v>
      </c>
      <c r="B128" s="16" t="s">
        <v>310</v>
      </c>
      <c r="C128" s="17">
        <v>210</v>
      </c>
      <c r="D128" s="17"/>
      <c r="E128" s="17">
        <v>1000</v>
      </c>
      <c r="F128" s="17">
        <v>1</v>
      </c>
      <c r="G128" s="17">
        <f>F128*E128</f>
        <v>1000</v>
      </c>
      <c r="H128" s="17"/>
      <c r="I128" s="17">
        <f>G128-H128</f>
        <v>1000</v>
      </c>
      <c r="J128" s="18"/>
      <c r="K128" s="20" t="str">
        <f>CONCATENATE(Table2[[#This Row],[Specs]],Table2[[#This Row],[Width]],Table2[[#This Row],[Slitting]])</f>
        <v>TWF55P16U5W210</v>
      </c>
    </row>
    <row r="129" spans="1:11">
      <c r="A129" s="15"/>
      <c r="B129" s="16"/>
      <c r="C129" s="17"/>
      <c r="D129" s="17"/>
      <c r="E129" s="17"/>
      <c r="F129" s="17"/>
      <c r="G129" s="17">
        <f>F129*E129</f>
        <v>0</v>
      </c>
      <c r="H129" s="17"/>
      <c r="I129" s="17">
        <f>G129-H129</f>
        <v>0</v>
      </c>
      <c r="J129" s="18"/>
      <c r="K129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4" activePane="bottomLeft" state="frozen"/>
      <selection pane="bottomLeft" activeCell="D18" sqref="D18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 t="s">
        <v>307</v>
      </c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44173.693726851852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 hidden="1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 hidden="1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 hidden="1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 hidden="1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 hidden="1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 hidden="1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 hidden="1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 hidden="1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 hidden="1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 hidden="1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 hidden="1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 hidden="1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 hidden="1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 hidden="1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 hidden="1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 hidden="1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 hidden="1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 hidden="1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 hidden="1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 hidden="1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 hidden="1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 hidden="1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 hidden="1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 hidden="1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 hidden="1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 hidden="1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 hidden="1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 hidden="1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 hidden="1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 hidden="1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 hidden="1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 hidden="1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 hidden="1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 hidden="1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 hidden="1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 hidden="1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 hidden="1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 hidden="1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 hidden="1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 hidden="1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 hidden="1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 hidden="1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 hidden="1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 hidden="1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 hidden="1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 hidden="1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 hidden="1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 hidden="1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 hidden="1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 hidden="1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 hidden="1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 hidden="1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 hidden="1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 hidden="1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 hidden="1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 hidden="1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 hidden="1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 hidden="1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 hidden="1">
      <c r="A75" s="24">
        <v>73</v>
      </c>
      <c r="B75" s="22" t="s">
        <v>22</v>
      </c>
      <c r="C75" s="22">
        <v>191</v>
      </c>
      <c r="D75" s="53" t="s">
        <v>84</v>
      </c>
      <c r="E75" s="22">
        <v>0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 hidden="1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 hidden="1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 hidden="1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 hidden="1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 hidden="1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 hidden="1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 hidden="1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 hidden="1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 hidden="1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 hidden="1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 hidden="1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 hidden="1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 hidden="1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 hidden="1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 hidden="1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 hidden="1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 hidden="1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 hidden="1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 hidden="1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 hidden="1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 hidden="1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 hidden="1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 hidden="1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 hidden="1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 hidden="1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 hidden="1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 hidden="1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 hidden="1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 hidden="1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 hidden="1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 hidden="1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 hidden="1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 hidden="1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 hidden="1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 hidden="1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 hidden="1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 hidden="1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 hidden="1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 hidden="1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 hidden="1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 hidden="1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 hidden="1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 hidden="1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 hidden="1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 hidden="1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 hidden="1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 hidden="1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 hidden="1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 hidden="1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 hidden="1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 hidden="1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 hidden="1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 hidden="1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 hidden="1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 hidden="1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 hidden="1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 hidden="1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 hidden="1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 hidden="1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 hidden="1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 hidden="1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 hidden="1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 hidden="1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 hidden="1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 hidden="1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 hidden="1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 hidden="1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 hidden="1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 hidden="1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 hidden="1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 hidden="1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 hidden="1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 hidden="1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 hidden="1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 hidden="1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 hidden="1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 hidden="1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 hidden="1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 hidden="1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 hidden="1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 hidden="1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 hidden="1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 hidden="1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 hidden="1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 hidden="1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 hidden="1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 hidden="1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 hidden="1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 hidden="1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 hidden="1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 hidden="1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 hidden="1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 hidden="1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 hidden="1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 hidden="1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 hidden="1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 hidden="1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 hidden="1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 hidden="1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 hidden="1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 hidden="1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 hidden="1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 hidden="1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 hidden="1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 hidden="1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 hidden="1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 hidden="1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 hidden="1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 hidden="1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 hidden="1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 hidden="1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 hidden="1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 hidden="1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 hidden="1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 hidden="1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 hidden="1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 hidden="1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 hidden="1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 hidden="1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 hidden="1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 hidden="1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 hidden="1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 hidden="1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 hidden="1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 hidden="1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 hidden="1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 hidden="1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 hidden="1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 hidden="1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 hidden="1">
      <c r="A212" s="27"/>
      <c r="B212" s="28" t="s">
        <v>22</v>
      </c>
      <c r="C212" s="28">
        <v>131</v>
      </c>
      <c r="D212" s="54" t="s">
        <v>283</v>
      </c>
      <c r="E212" s="28">
        <v>9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 hidden="1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 hidden="1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 hidden="1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 hidden="1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 hidden="1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 hidden="1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 hidden="1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 hidden="1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 hidden="1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 hidden="1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 hidden="1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 hidden="1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 hidden="1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 hidden="1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 hidden="1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 hidden="1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 hidden="1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 hidden="1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 hidden="1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 hidden="1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 hidden="1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 hidden="1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 hidden="1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 hidden="1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 hidden="1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 hidden="1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 hidden="1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3" t="s">
        <v>233</v>
      </c>
      <c r="B1" s="64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2020-12-13T23:46:06Z</dcterms:modified>
</cp:coreProperties>
</file>