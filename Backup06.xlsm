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11D69A8A-7388-BB44-9138-B7CBFBED4678}" xr6:coauthVersionLast="45" xr6:coauthVersionMax="45" xr10:uidLastSave="{00000000-0000-0000-0000-000000000000}"/>
  <bookViews>
    <workbookView xWindow="0" yWindow="460" windowWidth="25600" windowHeight="12920" activeTab="1" xr2:uid="{00000000-000D-0000-FFFF-FFFF00000000}"/>
  </bookViews>
  <sheets>
    <sheet name="PaperSummary" sheetId="205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Paper!$A$5:$J$87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87" i="2" l="1"/>
  <c r="I87" i="2" s="1"/>
  <c r="K87" i="2"/>
  <c r="I3" i="2"/>
  <c r="F3" i="3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<sst xmlns="http://schemas.openxmlformats.org/spreadsheetml/2006/main" count="797" uniqueCount="286">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</sst>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0" fillId="0" borderId="16" xfId="0" applyFont="1" applyBorder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13.360386689812" createdVersion="3" refreshedVersion="6" minRefreshableVersion="3" recordCount="81" xr:uid="{E3552F2A-A6B9-A043-96E4-A48E60C4F5A0}">
  <cacheSource type="worksheet">
    <worksheetSource ref="A5:K86" sheet="Paper"/>
  </cacheSource>
  <cacheFields count="11">
    <cacheField name="Arrival" numFmtId="49">
      <sharedItems count="29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6">
        <n v="600"/>
        <m/>
        <n v="500"/>
        <n v="100"/>
        <n v="570"/>
        <n v="400"/>
        <n v="180"/>
        <n v="70"/>
        <n v="580"/>
        <n v="300"/>
        <n v="480"/>
        <n v="585"/>
        <n v="380"/>
        <n v="590"/>
        <n v="550"/>
        <n v="560"/>
      </sharedItems>
    </cacheField>
    <cacheField name="Remaining" numFmtId="0">
      <sharedItems containsSemiMixedTypes="0" containsString="0" containsNumber="1" containsInteger="1" minValue="0" maxValue="1200" count="18">
        <n v="0"/>
        <n v="600"/>
        <n v="1200"/>
        <n v="100"/>
        <n v="500"/>
        <n v="30"/>
        <n v="200"/>
        <n v="300"/>
        <n v="20"/>
        <n v="130"/>
        <n v="120"/>
        <n v="60"/>
        <n v="400"/>
        <n v="15"/>
        <n v="80"/>
        <n v="10"/>
        <n v="50"/>
        <n v="4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2"/>
    <x v="3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4"/>
    <x v="5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5"/>
    <x v="6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7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7"/>
    <x v="0"/>
    <x v="13"/>
  </r>
  <r>
    <x v="16"/>
    <x v="3"/>
    <x v="3"/>
    <x v="1"/>
    <x v="2"/>
    <x v="0"/>
    <x v="3"/>
    <x v="1"/>
    <x v="6"/>
    <x v="0"/>
    <x v="13"/>
  </r>
  <r>
    <x v="12"/>
    <x v="2"/>
    <x v="5"/>
    <x v="1"/>
    <x v="0"/>
    <x v="0"/>
    <x v="0"/>
    <x v="4"/>
    <x v="5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8"/>
    <x v="8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9"/>
    <x v="7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3"/>
    <x v="2"/>
    <x v="15"/>
  </r>
  <r>
    <x v="12"/>
    <x v="0"/>
    <x v="3"/>
    <x v="1"/>
    <x v="0"/>
    <x v="0"/>
    <x v="0"/>
    <x v="10"/>
    <x v="10"/>
    <x v="1"/>
    <x v="4"/>
  </r>
  <r>
    <x v="12"/>
    <x v="1"/>
    <x v="3"/>
    <x v="1"/>
    <x v="0"/>
    <x v="0"/>
    <x v="0"/>
    <x v="2"/>
    <x v="3"/>
    <x v="1"/>
    <x v="16"/>
  </r>
  <r>
    <x v="12"/>
    <x v="1"/>
    <x v="3"/>
    <x v="1"/>
    <x v="0"/>
    <x v="0"/>
    <x v="0"/>
    <x v="10"/>
    <x v="10"/>
    <x v="1"/>
    <x v="16"/>
  </r>
  <r>
    <x v="12"/>
    <x v="1"/>
    <x v="3"/>
    <x v="1"/>
    <x v="0"/>
    <x v="0"/>
    <x v="0"/>
    <x v="9"/>
    <x v="7"/>
    <x v="1"/>
    <x v="16"/>
  </r>
  <r>
    <x v="12"/>
    <x v="1"/>
    <x v="3"/>
    <x v="1"/>
    <x v="0"/>
    <x v="0"/>
    <x v="0"/>
    <x v="8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8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4"/>
    <x v="5"/>
    <x v="1"/>
    <x v="20"/>
  </r>
  <r>
    <x v="12"/>
    <x v="6"/>
    <x v="12"/>
    <x v="1"/>
    <x v="2"/>
    <x v="0"/>
    <x v="3"/>
    <x v="1"/>
    <x v="6"/>
    <x v="1"/>
    <x v="21"/>
  </r>
  <r>
    <x v="12"/>
    <x v="7"/>
    <x v="12"/>
    <x v="1"/>
    <x v="3"/>
    <x v="0"/>
    <x v="4"/>
    <x v="1"/>
    <x v="3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6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13"/>
    <x v="15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4"/>
    <x v="16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14"/>
    <x v="16"/>
    <x v="1"/>
    <x v="0"/>
  </r>
  <r>
    <x v="12"/>
    <x v="0"/>
    <x v="4"/>
    <x v="0"/>
    <x v="0"/>
    <x v="0"/>
    <x v="0"/>
    <x v="2"/>
    <x v="3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5"/>
    <x v="6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1"/>
    <x v="1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15"/>
    <x v="17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1"/>
    <x v="1"/>
    <x v="0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8DB625-426E-F142-A4B9-D85779EC78AA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29"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6">
        <item x="7"/>
        <item x="3"/>
        <item x="6"/>
        <item x="9"/>
        <item x="12"/>
        <item x="5"/>
        <item x="10"/>
        <item x="2"/>
        <item x="14"/>
        <item x="15"/>
        <item x="4"/>
        <item x="8"/>
        <item x="11"/>
        <item x="13"/>
        <item x="0"/>
        <item x="1"/>
      </items>
    </pivotField>
    <pivotField dataField="1" showAll="0" defaultSubtotal="0">
      <items count="18">
        <item x="0"/>
        <item x="15"/>
        <item x="13"/>
        <item x="8"/>
        <item x="5"/>
        <item x="17"/>
        <item x="16"/>
        <item x="11"/>
        <item x="14"/>
        <item x="3"/>
        <item x="10"/>
        <item x="9"/>
        <item x="6"/>
        <item x="7"/>
        <item x="12"/>
        <item x="4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87" headerRowDxfId="39" dataDxfId="38" totalsRowDxfId="37">
  <autoFilter ref="A5:K87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54CDA-4EBC-F945-BA51-5901E58E3ECC}">
  <dimension ref="B1:W1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4.8984375" bestFit="1" customWidth="1"/>
    <col min="21" max="21" width="7.59765625" bestFit="1" customWidth="1"/>
    <col min="22" max="22" width="4.8984375" bestFit="1" customWidth="1"/>
    <col min="23" max="23" width="5.59765625" bestFit="1" customWidth="1"/>
    <col min="24" max="24" width="7.59765625" bestFit="1" customWidth="1"/>
    <col min="25" max="25" width="1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4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</row>
    <row r="3" spans="2:23">
      <c r="B3" s="54"/>
      <c r="C3" s="53">
        <v>40</v>
      </c>
      <c r="D3" s="53">
        <v>90</v>
      </c>
      <c r="E3" s="53">
        <v>100</v>
      </c>
      <c r="F3" s="53">
        <v>115</v>
      </c>
      <c r="G3" s="53">
        <v>120</v>
      </c>
      <c r="H3" s="55">
        <v>125</v>
      </c>
      <c r="I3" s="56"/>
      <c r="J3" s="53">
        <v>130</v>
      </c>
      <c r="K3" s="53">
        <v>135</v>
      </c>
      <c r="L3" s="53">
        <v>140</v>
      </c>
      <c r="M3" s="53">
        <v>150</v>
      </c>
      <c r="N3" s="55">
        <v>155</v>
      </c>
      <c r="O3" s="56"/>
      <c r="P3" s="53">
        <v>160</v>
      </c>
      <c r="Q3" s="53">
        <v>165</v>
      </c>
      <c r="R3" s="53">
        <v>175</v>
      </c>
      <c r="S3" s="55">
        <v>185</v>
      </c>
      <c r="T3" s="56"/>
      <c r="U3" s="55">
        <v>205</v>
      </c>
      <c r="V3" s="56"/>
      <c r="W3" s="53">
        <v>215</v>
      </c>
    </row>
    <row r="4" spans="2:23">
      <c r="B4" s="7" t="s">
        <v>0</v>
      </c>
      <c r="C4" s="53" t="s">
        <v>258</v>
      </c>
      <c r="D4" s="53" t="s">
        <v>258</v>
      </c>
      <c r="E4" s="53" t="s">
        <v>258</v>
      </c>
      <c r="F4" s="53" t="s">
        <v>258</v>
      </c>
      <c r="G4" s="53" t="s">
        <v>258</v>
      </c>
      <c r="H4" s="53" t="s">
        <v>268</v>
      </c>
      <c r="I4" s="53" t="s">
        <v>258</v>
      </c>
      <c r="J4" s="53" t="s">
        <v>258</v>
      </c>
      <c r="K4" s="53" t="s">
        <v>258</v>
      </c>
      <c r="L4" s="53" t="s">
        <v>258</v>
      </c>
      <c r="M4" s="53" t="s">
        <v>258</v>
      </c>
      <c r="N4" s="53" t="s">
        <v>268</v>
      </c>
      <c r="O4" s="53" t="s">
        <v>258</v>
      </c>
      <c r="P4" s="53" t="s">
        <v>258</v>
      </c>
      <c r="Q4" s="53" t="s">
        <v>258</v>
      </c>
      <c r="R4" s="53" t="s">
        <v>258</v>
      </c>
      <c r="S4" s="53" t="s">
        <v>268</v>
      </c>
      <c r="T4" s="53" t="s">
        <v>258</v>
      </c>
      <c r="U4" s="53" t="s">
        <v>268</v>
      </c>
      <c r="V4" s="53" t="s">
        <v>258</v>
      </c>
      <c r="W4" s="53" t="s">
        <v>258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259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261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262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260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200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254</v>
      </c>
      <c r="C14" s="6"/>
      <c r="D14" s="6">
        <v>1640</v>
      </c>
      <c r="E14" s="6"/>
      <c r="F14" s="6">
        <v>50</v>
      </c>
      <c r="G14" s="6"/>
      <c r="H14" s="6">
        <v>1400</v>
      </c>
      <c r="I14" s="6">
        <v>630</v>
      </c>
      <c r="J14" s="6"/>
      <c r="K14" s="6"/>
      <c r="L14" s="6">
        <v>640</v>
      </c>
      <c r="M14" s="6"/>
      <c r="N14" s="6">
        <v>700</v>
      </c>
      <c r="O14" s="6">
        <v>0</v>
      </c>
      <c r="P14" s="6"/>
      <c r="Q14" s="6">
        <v>100</v>
      </c>
      <c r="R14" s="6"/>
      <c r="S14" s="6">
        <v>650</v>
      </c>
      <c r="T14" s="6">
        <v>1200</v>
      </c>
      <c r="U14" s="6">
        <v>20</v>
      </c>
      <c r="V14" s="6">
        <v>1100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420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87"/>
  <sheetViews>
    <sheetView tabSelected="1" zoomScale="107" zoomScaleNormal="107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255</v>
      </c>
      <c r="I2" s="59" t="s">
        <v>236</v>
      </c>
      <c r="J2" s="60"/>
      <c r="M2" s="30"/>
      <c r="N2" s="30"/>
      <c r="O2" s="30"/>
      <c r="P2" s="30"/>
    </row>
    <row r="3" spans="1:19" ht="23" thickBot="1">
      <c r="I3" s="57">
        <f>LastSavedTimeStamp()</f>
        <v>44113.360185185185</v>
      </c>
      <c r="J3" s="58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252</v>
      </c>
      <c r="B5" s="11" t="s">
        <v>0</v>
      </c>
      <c r="C5" s="13" t="s">
        <v>198</v>
      </c>
      <c r="D5" s="13" t="s">
        <v>257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253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254</v>
      </c>
      <c r="C6" s="17">
        <v>185</v>
      </c>
      <c r="D6" s="18" t="s">
        <v>268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8" t="s">
        <v>254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254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8" t="s">
        <v>254</v>
      </c>
      <c r="C9" s="17">
        <v>185</v>
      </c>
      <c r="D9" s="18" t="s">
        <v>268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259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254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254</v>
      </c>
      <c r="C12" s="17">
        <v>155</v>
      </c>
      <c r="D12" s="18" t="s">
        <v>268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254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254</v>
      </c>
      <c r="C15" s="17">
        <v>125</v>
      </c>
      <c r="D15" s="18" t="s">
        <v>268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6" t="s">
        <v>254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500</v>
      </c>
      <c r="I16" s="17">
        <f t="shared" si="1"/>
        <v>100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254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254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254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259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254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254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254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100</v>
      </c>
      <c r="I23" s="17">
        <f t="shared" si="1"/>
        <v>500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254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6" t="s">
        <v>254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570</v>
      </c>
      <c r="I25" s="17">
        <f t="shared" si="1"/>
        <v>30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259</v>
      </c>
      <c r="C26" s="17">
        <v>125</v>
      </c>
      <c r="D26" s="17" t="s">
        <v>268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197</v>
      </c>
      <c r="B27" s="51" t="s">
        <v>254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6" t="s">
        <v>254</v>
      </c>
      <c r="C28" s="17">
        <v>125</v>
      </c>
      <c r="D28" s="17" t="s">
        <v>268</v>
      </c>
      <c r="E28" s="17">
        <v>600</v>
      </c>
      <c r="F28" s="17">
        <v>1</v>
      </c>
      <c r="G28" s="17">
        <f t="shared" si="0"/>
        <v>600</v>
      </c>
      <c r="H28" s="18">
        <v>400</v>
      </c>
      <c r="I28" s="17">
        <f t="shared" si="1"/>
        <v>200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254</v>
      </c>
      <c r="C29" s="17">
        <v>125</v>
      </c>
      <c r="D29" s="17" t="s">
        <v>268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9" t="s">
        <v>254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6" t="s">
        <v>254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254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260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254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259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259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259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259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217</v>
      </c>
      <c r="B47" s="18" t="s">
        <v>263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219</v>
      </c>
      <c r="B48" s="16" t="s">
        <v>254</v>
      </c>
      <c r="C48" s="17">
        <v>205</v>
      </c>
      <c r="D48" s="17" t="s">
        <v>268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219</v>
      </c>
      <c r="B50" s="16" t="s">
        <v>254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219</v>
      </c>
      <c r="B52" s="18" t="s">
        <v>261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224</v>
      </c>
      <c r="B53" s="16" t="s">
        <v>261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254</v>
      </c>
      <c r="C54" s="17">
        <v>125</v>
      </c>
      <c r="D54" s="17" t="s">
        <v>268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224</v>
      </c>
      <c r="B57" s="18" t="s">
        <v>264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226</v>
      </c>
      <c r="B58" s="18" t="s">
        <v>264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219</v>
      </c>
      <c r="B59" s="16" t="s">
        <v>262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254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228</v>
      </c>
      <c r="B61" s="33" t="s">
        <v>254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9" t="s">
        <v>277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219</v>
      </c>
      <c r="B63" s="21" t="s">
        <v>254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251</v>
      </c>
      <c r="B64" s="19" t="s">
        <v>254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251</v>
      </c>
      <c r="B65" s="19" t="s">
        <v>254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266</v>
      </c>
      <c r="B66" s="19" t="s">
        <v>254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266</v>
      </c>
      <c r="B67" s="16" t="s">
        <v>254</v>
      </c>
      <c r="C67" s="17">
        <v>185</v>
      </c>
      <c r="D67" s="17" t="s">
        <v>268</v>
      </c>
      <c r="E67" s="17">
        <v>600</v>
      </c>
      <c r="F67" s="17">
        <v>1</v>
      </c>
      <c r="G67" s="17">
        <f t="shared" si="8"/>
        <v>600</v>
      </c>
      <c r="H67" s="17">
        <v>550</v>
      </c>
      <c r="I67" s="17">
        <f t="shared" si="9"/>
        <v>50</v>
      </c>
      <c r="J67" s="18" t="s">
        <v>215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197</v>
      </c>
      <c r="B68" s="35" t="s">
        <v>254</v>
      </c>
      <c r="C68" s="17">
        <v>155</v>
      </c>
      <c r="D68" s="17" t="s">
        <v>268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269</v>
      </c>
      <c r="B69" s="19" t="s">
        <v>254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269</v>
      </c>
      <c r="B70" s="19" t="s">
        <v>254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197</v>
      </c>
      <c r="B71" s="16" t="s">
        <v>254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600</v>
      </c>
      <c r="I71" s="17">
        <f t="shared" si="9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272</v>
      </c>
      <c r="B72" s="16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>
        <v>400</v>
      </c>
      <c r="I72" s="17">
        <f t="shared" si="9"/>
        <v>200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271</v>
      </c>
      <c r="B73" s="19" t="s">
        <v>254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271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271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274</v>
      </c>
      <c r="B76" s="19" t="s">
        <v>254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274</v>
      </c>
      <c r="B77" s="19" t="s">
        <v>254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600</v>
      </c>
      <c r="I77" s="17">
        <f t="shared" si="11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274</v>
      </c>
      <c r="B78" s="19" t="s">
        <v>254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>
        <v>600</v>
      </c>
      <c r="I78" s="17">
        <f t="shared" si="11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197</v>
      </c>
      <c r="B79" s="18" t="s">
        <v>230</v>
      </c>
      <c r="C79" s="17">
        <v>100</v>
      </c>
      <c r="D79" s="17"/>
      <c r="E79" s="17">
        <v>400</v>
      </c>
      <c r="F79" s="17">
        <v>1</v>
      </c>
      <c r="G79" s="17">
        <f t="shared" si="10"/>
        <v>400</v>
      </c>
      <c r="H79" s="17">
        <v>380</v>
      </c>
      <c r="I79" s="17">
        <f t="shared" si="11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278</v>
      </c>
      <c r="B80" s="18" t="s">
        <v>254</v>
      </c>
      <c r="C80" s="17">
        <v>125</v>
      </c>
      <c r="D80" s="17"/>
      <c r="E80" s="17">
        <v>600</v>
      </c>
      <c r="F80" s="17">
        <v>1</v>
      </c>
      <c r="G80" s="17">
        <f>F80*E80</f>
        <v>600</v>
      </c>
      <c r="H80" s="17"/>
      <c r="I80" s="17">
        <f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280</v>
      </c>
      <c r="B81" s="19" t="s">
        <v>281</v>
      </c>
      <c r="C81" s="17">
        <v>165</v>
      </c>
      <c r="D81" s="17"/>
      <c r="E81" s="17">
        <v>600</v>
      </c>
      <c r="F81" s="17">
        <v>1</v>
      </c>
      <c r="G81" s="17">
        <f>F81*E81</f>
        <v>600</v>
      </c>
      <c r="H81" s="17">
        <v>600</v>
      </c>
      <c r="I81" s="17">
        <f>G81-H81</f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280</v>
      </c>
      <c r="B82" s="19" t="s">
        <v>281</v>
      </c>
      <c r="C82" s="17">
        <v>165</v>
      </c>
      <c r="D82" s="17"/>
      <c r="E82" s="17">
        <v>600</v>
      </c>
      <c r="F82" s="17">
        <v>1</v>
      </c>
      <c r="G82" s="17">
        <f>F82*E82</f>
        <v>600</v>
      </c>
      <c r="H82" s="17">
        <v>600</v>
      </c>
      <c r="I82" s="17">
        <f>G82-H82</f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279</v>
      </c>
      <c r="B83" s="50" t="s">
        <v>254</v>
      </c>
      <c r="C83" s="48">
        <v>165</v>
      </c>
      <c r="D83" s="48"/>
      <c r="E83" s="48">
        <v>600</v>
      </c>
      <c r="F83" s="48">
        <v>1</v>
      </c>
      <c r="G83" s="17">
        <f t="shared" ref="G83:G85" si="12">F83*E83</f>
        <v>600</v>
      </c>
      <c r="H83" s="48">
        <v>600</v>
      </c>
      <c r="I83" s="17">
        <f t="shared" ref="I83:I85" si="13">G83-H83</f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>
      <c r="A84" s="47" t="s">
        <v>279</v>
      </c>
      <c r="B84" s="52" t="s">
        <v>254</v>
      </c>
      <c r="C84" s="48">
        <v>140</v>
      </c>
      <c r="D84" s="48"/>
      <c r="E84" s="48">
        <v>600</v>
      </c>
      <c r="F84" s="48">
        <v>1</v>
      </c>
      <c r="G84" s="17">
        <f t="shared" si="12"/>
        <v>600</v>
      </c>
      <c r="H84" s="48">
        <v>560</v>
      </c>
      <c r="I84" s="17">
        <f t="shared" si="13"/>
        <v>40</v>
      </c>
      <c r="J84" s="49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282</v>
      </c>
      <c r="B85" s="19" t="s">
        <v>283</v>
      </c>
      <c r="C85" s="17">
        <v>90</v>
      </c>
      <c r="D85" s="17"/>
      <c r="E85" s="17">
        <v>600</v>
      </c>
      <c r="F85" s="17">
        <v>1</v>
      </c>
      <c r="G85" s="17">
        <f t="shared" si="12"/>
        <v>600</v>
      </c>
      <c r="H85" s="17">
        <v>600</v>
      </c>
      <c r="I85" s="17">
        <f t="shared" si="13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284</v>
      </c>
      <c r="B86" s="18" t="s">
        <v>254</v>
      </c>
      <c r="C86" s="17">
        <v>140</v>
      </c>
      <c r="D86" s="17"/>
      <c r="E86" s="17">
        <v>600</v>
      </c>
      <c r="F86" s="17">
        <v>1</v>
      </c>
      <c r="G86" s="17">
        <f>F86*E86</f>
        <v>600</v>
      </c>
      <c r="H86" s="17"/>
      <c r="I86" s="17">
        <f>G86-H86</f>
        <v>600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/>
      <c r="B87" s="16"/>
      <c r="C87" s="17"/>
      <c r="D87" s="17"/>
      <c r="E87" s="17"/>
      <c r="F87" s="17"/>
      <c r="G87" s="17">
        <f>F87*E87</f>
        <v>0</v>
      </c>
      <c r="H87" s="17"/>
      <c r="I87" s="17">
        <f>G87-H87</f>
        <v>0</v>
      </c>
      <c r="J87" s="18"/>
      <c r="K87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198" activePane="bottomLeft" state="frozen"/>
      <selection pane="bottomLeft" activeCell="F4" sqref="F4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3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204</v>
      </c>
      <c r="F2" s="32" t="s">
        <v>256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44113.360185185185</v>
      </c>
      <c r="G3" s="22"/>
      <c r="H3" s="22"/>
      <c r="I3" s="14"/>
    </row>
    <row r="4" spans="1:9" ht="8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20</v>
      </c>
      <c r="F5" s="22" t="s">
        <v>19</v>
      </c>
      <c r="G5" s="22" t="s">
        <v>196</v>
      </c>
      <c r="H5" s="22" t="s">
        <v>203</v>
      </c>
      <c r="I5" s="14"/>
    </row>
    <row r="6" spans="1:9" ht="20">
      <c r="A6" s="24"/>
      <c r="B6" s="22" t="s">
        <v>22</v>
      </c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</v>
      </c>
    </row>
    <row r="12" spans="1:9" ht="20">
      <c r="A12" s="24">
        <v>8</v>
      </c>
      <c r="B12" s="22" t="s">
        <v>22</v>
      </c>
      <c r="C12" s="22">
        <v>371</v>
      </c>
      <c r="D12" s="22" t="s">
        <v>195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29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30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31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32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33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34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35</v>
      </c>
      <c r="E19" s="22"/>
      <c r="F19" s="22" t="s">
        <v>58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36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37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38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36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39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40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41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42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43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44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265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46</v>
      </c>
      <c r="E31" s="22"/>
      <c r="F31" s="25">
        <v>43837</v>
      </c>
      <c r="G31" s="22" t="s">
        <v>47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48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49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50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51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52</v>
      </c>
      <c r="C36" s="22">
        <v>291</v>
      </c>
      <c r="D36" s="22" t="s">
        <v>53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52</v>
      </c>
      <c r="C37" s="22">
        <v>121</v>
      </c>
      <c r="D37" s="22" t="s">
        <v>53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52</v>
      </c>
      <c r="C38" s="22">
        <v>171</v>
      </c>
      <c r="D38" s="22" t="s">
        <v>53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52</v>
      </c>
      <c r="C39" s="22">
        <v>161</v>
      </c>
      <c r="D39" s="22" t="s">
        <v>54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52</v>
      </c>
      <c r="C40" s="22">
        <v>171</v>
      </c>
      <c r="D40" s="22" t="s">
        <v>54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52</v>
      </c>
      <c r="C41" s="22">
        <v>181</v>
      </c>
      <c r="D41" s="22" t="s">
        <v>55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56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57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56</v>
      </c>
      <c r="E44" s="22">
        <v>2</v>
      </c>
      <c r="F44" s="22" t="s">
        <v>58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59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60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61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62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63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64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65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62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66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67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68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69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70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70</v>
      </c>
      <c r="E58" s="22">
        <v>5</v>
      </c>
      <c r="F58" s="22" t="s">
        <v>58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71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238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73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74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75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76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77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78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79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80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81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82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83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81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29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84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85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86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45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87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88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89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90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91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91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92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93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94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70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66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68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68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95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95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96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97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98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99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100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101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101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50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83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102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103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104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105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106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107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108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109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109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94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110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110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110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110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111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112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113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113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114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115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116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117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118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119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249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120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121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122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123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123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123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124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30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125</v>
      </c>
      <c r="E135" s="22"/>
      <c r="F135" s="22" t="s">
        <v>126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125</v>
      </c>
      <c r="E136" s="22"/>
      <c r="F136" s="22" t="s">
        <v>126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81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81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127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128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244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56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129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130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131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132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133</v>
      </c>
      <c r="E147" s="22" t="s">
        <v>47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134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135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136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137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138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139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100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140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140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141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142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126</v>
      </c>
      <c r="E159" s="22"/>
      <c r="F159" s="22" t="s">
        <v>126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143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144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145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146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147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148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237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150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151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190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190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150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152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153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154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155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156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157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158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159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160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161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162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163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52</v>
      </c>
      <c r="C184" s="22">
        <v>173</v>
      </c>
      <c r="D184" s="22" t="s">
        <v>164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52</v>
      </c>
      <c r="C185" s="22">
        <v>173</v>
      </c>
      <c r="D185" s="22" t="s">
        <v>164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165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166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167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167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168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241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170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171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171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194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205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206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207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208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238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216</v>
      </c>
      <c r="C201" s="28">
        <v>163</v>
      </c>
      <c r="D201" s="28" t="s">
        <v>239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240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242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122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243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245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246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247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248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270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276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285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285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285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/>
      <c r="C215" s="28"/>
      <c r="D215" s="28"/>
      <c r="E215" s="28"/>
      <c r="F215" s="23"/>
      <c r="G215" s="28"/>
      <c r="H215" s="29" t="str">
        <f>CONCATENATE(Table1[[#This Row],[Order Code]],Table1[[#This Row],[NAME]])</f>
        <v/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1" t="s">
        <v>234</v>
      </c>
      <c r="B1" s="62"/>
      <c r="C1" s="45" t="s">
        <v>275</v>
      </c>
      <c r="D1" s="45" t="s">
        <v>2</v>
      </c>
      <c r="E1" s="42"/>
    </row>
    <row r="2" spans="1:5" ht="46">
      <c r="A2" s="37">
        <v>44061</v>
      </c>
      <c r="B2" s="44" t="s">
        <v>233</v>
      </c>
    </row>
    <row r="3" spans="1:5" ht="23">
      <c r="A3" s="37">
        <v>44062</v>
      </c>
      <c r="B3" s="43" t="s">
        <v>250</v>
      </c>
    </row>
    <row r="4" spans="1:5" ht="69">
      <c r="A4" s="37">
        <v>44063</v>
      </c>
      <c r="B4" s="43" t="s">
        <v>235</v>
      </c>
    </row>
    <row r="5" spans="1:5" ht="69">
      <c r="A5" s="37">
        <v>44064</v>
      </c>
      <c r="B5" s="43" t="s">
        <v>267</v>
      </c>
    </row>
    <row r="6" spans="1:5" ht="46">
      <c r="B6" s="43" t="s">
        <v>273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2020-10-08T23:39:01Z</dcterms:modified>
</cp:coreProperties>
</file>