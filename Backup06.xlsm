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BB76C957-D404-9B43-AAA3-4E5CB25047DA}" xr6:coauthVersionLast="45" xr6:coauthVersionMax="45" xr10:uidLastSave="{00000000-0000-0000-0000-000000000000}"/>
  <bookViews>
    <workbookView xWindow="0" yWindow="460" windowWidth="25600" windowHeight="12920" activeTab="3" xr2:uid="{00000000-000D-0000-FFFF-FFFF00000000}"/>
  </bookViews>
  <sheets>
    <sheet name="PaperSummary" sheetId="193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0" i="2" l="1"/>
  <c r="I80" i="2" s="1"/>
  <c r="K80" i="2"/>
  <c r="F3" i="3"/>
  <c r="I3" i="2"/>
  <c r="G78" i="2" l="1"/>
  <c r="I78" i="2" s="1"/>
  <c r="G77" i="2"/>
  <c r="I77" i="2" s="1"/>
  <c r="G79" i="2"/>
  <c r="I79" i="2" s="1"/>
  <c r="K79" i="2"/>
  <c r="K78" i="2"/>
  <c r="K77" i="2"/>
  <c r="H6" i="2" l="1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<sst xmlns="http://schemas.openxmlformats.org/spreadsheetml/2006/main" count="777" uniqueCount="278">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</sst>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0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FF0000"/>
      <name val="Calibri"/>
      <family val="2"/>
    </font>
    <font>
      <sz val="14"/>
      <color rgb="FF00B0F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0" fontId="18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84.623363657411" createdVersion="3" refreshedVersion="6" minRefreshableVersion="3" recordCount="74" xr:uid="{E1A2C92F-936A-B74A-96F2-CD6817425133}">
  <cacheSource type="worksheet">
    <worksheetSource ref="A5:K79" sheet="Paper"/>
  </cacheSource>
  <cacheFields count="11">
    <cacheField name="Arrival" numFmtId="49">
      <sharedItems count="2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0" maxValue="600" count="17">
        <n v="370"/>
        <m/>
        <n v="400"/>
        <n v="600"/>
        <n v="330"/>
        <n v="300"/>
        <n v="570"/>
        <n v="180"/>
        <n v="70"/>
        <n v="580"/>
        <n v="500"/>
        <n v="480"/>
        <n v="585"/>
        <n v="380"/>
        <n v="590"/>
        <n v="550"/>
        <n v="0"/>
      </sharedItems>
    </cacheField>
    <cacheField name="Remaining" numFmtId="0">
      <sharedItems containsSemiMixedTypes="0" containsString="0" containsNumber="1" containsInteger="1" minValue="0" maxValue="1200" count="18">
        <n v="230"/>
        <n v="600"/>
        <n v="1200"/>
        <n v="200"/>
        <n v="0"/>
        <n v="270"/>
        <n v="300"/>
        <n v="30"/>
        <n v="20"/>
        <n v="130"/>
        <n v="100"/>
        <n v="120"/>
        <n v="60"/>
        <n v="400"/>
        <n v="15"/>
        <n v="80"/>
        <n v="1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5"/>
    <x v="6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9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10"/>
    <x v="10"/>
    <x v="0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1"/>
    <x v="11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11"/>
    <x v="11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9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9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6"/>
    <x v="7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3"/>
    <x v="4"/>
    <x v="0"/>
    <x v="14"/>
  </r>
  <r>
    <x v="12"/>
    <x v="0"/>
    <x v="16"/>
    <x v="1"/>
    <x v="0"/>
    <x v="0"/>
    <x v="0"/>
    <x v="15"/>
    <x v="17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10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10"/>
    <x v="0"/>
    <x v="1"/>
  </r>
  <r>
    <x v="22"/>
    <x v="2"/>
    <x v="3"/>
    <x v="1"/>
    <x v="0"/>
    <x v="0"/>
    <x v="0"/>
    <x v="16"/>
    <x v="1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5"/>
    <x v="0"/>
    <x v="24"/>
  </r>
  <r>
    <x v="23"/>
    <x v="9"/>
    <x v="12"/>
    <x v="1"/>
    <x v="5"/>
    <x v="0"/>
    <x v="6"/>
    <x v="1"/>
    <x v="13"/>
    <x v="0"/>
    <x v="27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1"/>
    <x v="1"/>
    <x v="0"/>
    <x v="8"/>
  </r>
  <r>
    <x v="12"/>
    <x v="9"/>
    <x v="12"/>
    <x v="1"/>
    <x v="5"/>
    <x v="0"/>
    <x v="6"/>
    <x v="13"/>
    <x v="8"/>
    <x v="0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5D20A6-8EE7-3343-A390-E327AEBD9A8A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5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7">
        <item x="16"/>
        <item x="8"/>
        <item x="7"/>
        <item x="5"/>
        <item x="4"/>
        <item x="0"/>
        <item x="13"/>
        <item x="2"/>
        <item x="11"/>
        <item x="10"/>
        <item x="15"/>
        <item x="6"/>
        <item x="9"/>
        <item x="12"/>
        <item x="14"/>
        <item x="3"/>
        <item x="1"/>
      </items>
    </pivotField>
    <pivotField dataField="1" showAll="0" defaultSubtotal="0">
      <items count="18">
        <item x="4"/>
        <item x="16"/>
        <item x="14"/>
        <item x="8"/>
        <item x="7"/>
        <item x="17"/>
        <item x="12"/>
        <item x="15"/>
        <item x="10"/>
        <item x="11"/>
        <item x="9"/>
        <item x="3"/>
        <item x="0"/>
        <item x="5"/>
        <item x="6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0" headerRowDxfId="39" dataDxfId="38" totalsRowDxfId="37">
  <autoFilter ref="A5:K8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559F0-5AA5-3B48-99AE-AADEC32C6F72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</row>
    <row r="3" spans="2:23">
      <c r="B3" s="49"/>
      <c r="C3" s="48">
        <v>40</v>
      </c>
      <c r="D3" s="48">
        <v>90</v>
      </c>
      <c r="E3" s="48">
        <v>100</v>
      </c>
      <c r="F3" s="48">
        <v>115</v>
      </c>
      <c r="G3" s="48">
        <v>120</v>
      </c>
      <c r="H3" s="50">
        <v>125</v>
      </c>
      <c r="I3" s="51"/>
      <c r="J3" s="48">
        <v>130</v>
      </c>
      <c r="K3" s="48">
        <v>135</v>
      </c>
      <c r="L3" s="48">
        <v>140</v>
      </c>
      <c r="M3" s="48">
        <v>150</v>
      </c>
      <c r="N3" s="50">
        <v>155</v>
      </c>
      <c r="O3" s="51"/>
      <c r="P3" s="48">
        <v>160</v>
      </c>
      <c r="Q3" s="48">
        <v>165</v>
      </c>
      <c r="R3" s="48">
        <v>175</v>
      </c>
      <c r="S3" s="50">
        <v>185</v>
      </c>
      <c r="T3" s="51"/>
      <c r="U3" s="50">
        <v>205</v>
      </c>
      <c r="V3" s="51"/>
      <c r="W3" s="48">
        <v>215</v>
      </c>
    </row>
    <row r="4" spans="2:23">
      <c r="B4" s="7" t="s">
        <v>0</v>
      </c>
      <c r="C4" s="48" t="s">
        <v>258</v>
      </c>
      <c r="D4" s="48" t="s">
        <v>258</v>
      </c>
      <c r="E4" s="48" t="s">
        <v>258</v>
      </c>
      <c r="F4" s="48" t="s">
        <v>258</v>
      </c>
      <c r="G4" s="48" t="s">
        <v>258</v>
      </c>
      <c r="H4" s="48" t="s">
        <v>268</v>
      </c>
      <c r="I4" s="48" t="s">
        <v>258</v>
      </c>
      <c r="J4" s="48" t="s">
        <v>258</v>
      </c>
      <c r="K4" s="48" t="s">
        <v>258</v>
      </c>
      <c r="L4" s="48" t="s">
        <v>258</v>
      </c>
      <c r="M4" s="48" t="s">
        <v>258</v>
      </c>
      <c r="N4" s="48" t="s">
        <v>268</v>
      </c>
      <c r="O4" s="48" t="s">
        <v>258</v>
      </c>
      <c r="P4" s="48" t="s">
        <v>258</v>
      </c>
      <c r="Q4" s="48" t="s">
        <v>258</v>
      </c>
      <c r="R4" s="48" t="s">
        <v>258</v>
      </c>
      <c r="S4" s="48" t="s">
        <v>268</v>
      </c>
      <c r="T4" s="48" t="s">
        <v>258</v>
      </c>
      <c r="U4" s="48" t="s">
        <v>268</v>
      </c>
      <c r="V4" s="48" t="s">
        <v>258</v>
      </c>
      <c r="W4" s="48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700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270</v>
      </c>
      <c r="J14" s="6"/>
      <c r="K14" s="6"/>
      <c r="L14" s="6">
        <v>300</v>
      </c>
      <c r="M14" s="6"/>
      <c r="N14" s="6">
        <v>700</v>
      </c>
      <c r="O14" s="6">
        <v>200</v>
      </c>
      <c r="P14" s="6"/>
      <c r="Q14" s="6">
        <v>1800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0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4" t="s">
        <v>236</v>
      </c>
      <c r="J2" s="55"/>
      <c r="M2" s="30"/>
      <c r="N2" s="30"/>
      <c r="O2" s="30"/>
      <c r="P2" s="30"/>
    </row>
    <row r="3" spans="1:19" ht="23" thickBot="1">
      <c r="I3" s="52">
        <f>LastSavedTimeStamp()</f>
        <v>44084.623333333337</v>
      </c>
      <c r="J3" s="53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47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300</v>
      </c>
      <c r="I27" s="17">
        <f t="shared" si="1"/>
        <v>300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0</v>
      </c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6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/>
      <c r="I78" s="17">
        <f t="shared" si="11"/>
        <v>600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/>
      <c r="B80" s="16"/>
      <c r="C80" s="17"/>
      <c r="D80" s="17"/>
      <c r="E80" s="17"/>
      <c r="F80" s="17"/>
      <c r="G80" s="17">
        <f>F80*E80</f>
        <v>0</v>
      </c>
      <c r="H80" s="17"/>
      <c r="I80" s="17">
        <f>G80-H80</f>
        <v>0</v>
      </c>
      <c r="J80" s="18"/>
      <c r="K8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2.69921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44084.623333333337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56" t="s">
        <v>234</v>
      </c>
      <c r="B1" s="57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2020-09-10T05:57:56Z</dcterms:modified>
</cp:coreProperties>
</file>