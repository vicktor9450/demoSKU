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17E104A0-45E8-F743-8382-91F3ADA299A9}" xr6:coauthVersionLast="45" xr6:coauthVersionMax="45" xr10:uidLastSave="{00000000-0000-0000-0000-000000000000}"/>
  <bookViews>
    <workbookView xWindow="0" yWindow="460" windowWidth="25600" windowHeight="12920" xr2:uid="{00000000-000D-0000-FFFF-FFFF00000000}"/>
  </bookViews>
  <sheets>
    <sheet name="PaperSummary" sheetId="206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4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8" i="2" l="1"/>
  <c r="I88" i="2" s="1"/>
  <c r="K88" i="2"/>
  <c r="F3" i="3"/>
  <c r="I3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<sst xmlns="http://schemas.openxmlformats.org/spreadsheetml/2006/main" count="799" uniqueCount="288">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</sst>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16.414488773145" createdVersion="3" refreshedVersion="6" minRefreshableVersion="3" recordCount="82" xr:uid="{D4374BA9-17E2-4B44-8AF5-252F83A819DE}">
  <cacheSource type="worksheet">
    <worksheetSource ref="A5:K87" sheet="Paper"/>
  </cacheSource>
  <cacheFields count="11">
    <cacheField name="Arrival" numFmtId="49">
      <sharedItems count="3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600"/>
        <m/>
        <n v="500"/>
        <n v="100"/>
        <n v="570"/>
        <n v="400"/>
        <n v="180"/>
        <n v="70"/>
        <n v="580"/>
        <n v="300"/>
        <n v="480"/>
        <n v="585"/>
        <n v="380"/>
        <n v="590"/>
        <n v="550"/>
        <n v="560"/>
      </sharedItems>
    </cacheField>
    <cacheField name="Remaining" numFmtId="0">
      <sharedItems containsSemiMixedTypes="0" containsString="0" containsNumber="1" containsInteger="1" minValue="0" maxValue="1200" count="18">
        <n v="0"/>
        <n v="600"/>
        <n v="1200"/>
        <n v="100"/>
        <n v="500"/>
        <n v="30"/>
        <n v="200"/>
        <n v="300"/>
        <n v="20"/>
        <n v="13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2"/>
    <x v="3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6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7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7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4"/>
    <x v="5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7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3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2"/>
    <x v="3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7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4"/>
    <x v="5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3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14"/>
    <x v="16"/>
    <x v="1"/>
    <x v="0"/>
  </r>
  <r>
    <x v="12"/>
    <x v="0"/>
    <x v="4"/>
    <x v="0"/>
    <x v="0"/>
    <x v="0"/>
    <x v="0"/>
    <x v="2"/>
    <x v="3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5"/>
    <x v="6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15"/>
    <x v="17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1"/>
    <x v="1"/>
    <x v="0"/>
    <x v="12"/>
  </r>
  <r>
    <x v="29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6F51C4-492F-A04F-8FA4-08F12BF1F79B}" name="PaperPivotTable" cacheId="14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30"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7"/>
        <item x="3"/>
        <item x="6"/>
        <item x="9"/>
        <item x="12"/>
        <item x="5"/>
        <item x="10"/>
        <item x="2"/>
        <item x="14"/>
        <item x="15"/>
        <item x="4"/>
        <item x="8"/>
        <item x="11"/>
        <item x="13"/>
        <item x="0"/>
        <item x="1"/>
      </items>
    </pivotField>
    <pivotField dataField="1" showAll="0" defaultSubtotal="0">
      <items count="18">
        <item x="0"/>
        <item x="15"/>
        <item x="13"/>
        <item x="8"/>
        <item x="5"/>
        <item x="17"/>
        <item x="16"/>
        <item x="11"/>
        <item x="14"/>
        <item x="3"/>
        <item x="10"/>
        <item x="9"/>
        <item x="6"/>
        <item x="7"/>
        <item x="12"/>
        <item x="4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8" headerRowDxfId="39" dataDxfId="38" totalsRowDxfId="37">
  <autoFilter ref="A5:K8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6A3C8-DEE5-E64A-8E6A-C09D8F0F4BF4}">
  <dimension ref="B1:W1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>
        <v>700</v>
      </c>
      <c r="R14" s="6"/>
      <c r="S14" s="6">
        <v>650</v>
      </c>
      <c r="T14" s="6">
        <v>1200</v>
      </c>
      <c r="U14" s="6">
        <v>20</v>
      </c>
      <c r="V14" s="6">
        <v>1100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8"/>
  <sheetViews>
    <sheetView zoomScale="107" zoomScaleNormal="107" workbookViewId="0">
      <pane ySplit="5" topLeftCell="A83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44116.414120370369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6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500</v>
      </c>
      <c r="I16" s="17">
        <f t="shared" si="1"/>
        <v>100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9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6" t="s">
        <v>254</v>
      </c>
      <c r="C67" s="17">
        <v>185</v>
      </c>
      <c r="D67" s="17" t="s">
        <v>268</v>
      </c>
      <c r="E67" s="17">
        <v>600</v>
      </c>
      <c r="F67" s="17">
        <v>1</v>
      </c>
      <c r="G67" s="17">
        <f t="shared" si="8"/>
        <v>600</v>
      </c>
      <c r="H67" s="17">
        <v>550</v>
      </c>
      <c r="I67" s="17">
        <f t="shared" si="9"/>
        <v>50</v>
      </c>
      <c r="J67" s="18" t="s">
        <v>215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286</v>
      </c>
      <c r="B87" s="18" t="s">
        <v>287</v>
      </c>
      <c r="C87" s="17">
        <v>165</v>
      </c>
      <c r="D87" s="17"/>
      <c r="E87" s="17">
        <v>600</v>
      </c>
      <c r="F87" s="17">
        <v>1</v>
      </c>
      <c r="G87" s="17">
        <f>F87*E87</f>
        <v>600</v>
      </c>
      <c r="H87" s="17"/>
      <c r="I87" s="17">
        <f>G87-H87</f>
        <v>600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/>
      <c r="B88" s="16"/>
      <c r="C88" s="17"/>
      <c r="D88" s="17"/>
      <c r="E88" s="17"/>
      <c r="F88" s="17"/>
      <c r="G88" s="17">
        <f>F88*E88</f>
        <v>0</v>
      </c>
      <c r="H88" s="17"/>
      <c r="I88" s="17">
        <f>G88-H88</f>
        <v>0</v>
      </c>
      <c r="J88" s="18"/>
      <c r="K88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198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44116.414120370369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285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285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285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2020-10-12T00:56:56Z</dcterms:modified>
</cp:coreProperties>
</file>