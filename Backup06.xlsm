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D69CD684-D0C7-2943-3DEE-EAF2D3A0B700}"/>
  <workbookPr codeName="ThisWorkbook2" hidePivotFieldList="1"/>
  <mc:AlternateContent xmlns:mc="http://schemas.openxmlformats.org/markup-compatibility/2006">
    <mc:Choice Requires="x15">
      <x15ac:absPath xmlns:x15ac="http://schemas.microsoft.com/office/spreadsheetml/2010/11/ac" url="/Users/minato/2. Projects/Others/エクシート/demoSKU/"/>
    </mc:Choice>
  </mc:AlternateContent>
  <xr:revisionPtr revIDLastSave="0" documentId="13_ncr:1_{A4D7BE2A-22A3-2E4A-AE69-575AFD2FD92C}" xr6:coauthVersionLast="45" xr6:coauthVersionMax="45" xr10:uidLastSave="{00000000-0000-0000-0000-000000000000}"/>
  <bookViews>
    <workbookView xWindow="0" yWindow="460" windowWidth="25600" windowHeight="12960" xr2:uid="{00000000-000D-0000-FFFF-FFFF00000000}"/>
  </bookViews>
  <sheets>
    <sheet name="PaperSummary" sheetId="199" r:id="rId1"/>
    <sheet name="Paper" sheetId="2" r:id="rId2"/>
    <sheet name="INK" sheetId="3" r:id="rId3"/>
    <sheet name="Change Log" sheetId="109" r:id="rId4"/>
    <sheet name="STD not has INK" sheetId="4" state="hidden" r:id="rId5"/>
    <sheet name="STD" sheetId="5" state="hidden" r:id="rId6"/>
  </sheets>
  <functionGroups builtInGroupCount="19"/>
  <definedNames>
    <definedName name="_xlnm._FilterDatabase" localSheetId="2" hidden="1">INK!$A$5:$G$239</definedName>
    <definedName name="_xlnm._FilterDatabase" localSheetId="1" hidden="1">Paper!$A$5:$J$86</definedName>
    <definedName name="_xlnm._FilterDatabase" localSheetId="5" hidden="1">STD!$A$1:$C$81</definedName>
    <definedName name="Paper_String">Paper!$A$2</definedName>
    <definedName name="Paper_Table">Table2[]</definedName>
    <definedName name="search_string">INK!$C$2</definedName>
  </definedNames>
  <calcPr calcId="191029"/>
  <pivotCaches>
    <pivotCache cacheId="13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uri="GoogleSheetsCustomDataVersion1">
      <go:sheetsCustomData xmlns:go="http://customooxmlschemas.google.com/" r:id="rId10" roundtripDataSignature="AMtx7mi195XS8gXpCSf2oLgFjdsdvXNB4A=="/>
    </ext>
  </extLst>
</workbook>
</file>

<file path=xl/calcChain.xml><?xml version="1.0" encoding="utf-8"?>
<calcChain xmlns="http://schemas.openxmlformats.org/spreadsheetml/2006/main">
  <c r="G86" i="2" l="1"/>
  <c r="I86" i="2" s="1"/>
  <c r="K86" i="2"/>
  <c r="H6" i="2"/>
  <c r="F3" i="3"/>
  <c r="I3" i="2"/>
  <c r="G83" i="2" l="1"/>
  <c r="I83" i="2" s="1"/>
  <c r="G84" i="2"/>
  <c r="I84" i="2" s="1"/>
  <c r="G85" i="2"/>
  <c r="I85" i="2" s="1"/>
  <c r="K85" i="2"/>
  <c r="K84" i="2"/>
  <c r="K83" i="2"/>
  <c r="G82" i="2"/>
  <c r="I82" i="2" s="1"/>
  <c r="K82" i="2"/>
  <c r="G81" i="2" l="1"/>
  <c r="I81" i="2" s="1"/>
  <c r="K81" i="2"/>
  <c r="G80" i="2" l="1"/>
  <c r="I80" i="2" s="1"/>
  <c r="K80" i="2"/>
  <c r="G78" i="2" l="1"/>
  <c r="I78" i="2" s="1"/>
  <c r="G77" i="2"/>
  <c r="I77" i="2" s="1"/>
  <c r="G79" i="2"/>
  <c r="I79" i="2" s="1"/>
  <c r="K79" i="2"/>
  <c r="K78" i="2"/>
  <c r="K77" i="2"/>
  <c r="G76" i="2" l="1"/>
  <c r="I76" i="2" s="1"/>
  <c r="K76" i="2"/>
  <c r="G75" i="2"/>
  <c r="I75" i="2" s="1"/>
  <c r="K75" i="2"/>
  <c r="G74" i="2"/>
  <c r="I74" i="2" s="1"/>
  <c r="K74" i="2"/>
  <c r="G73" i="2" l="1"/>
  <c r="I73" i="2" s="1"/>
  <c r="K73" i="2"/>
  <c r="G71" i="2" l="1"/>
  <c r="I71" i="2" s="1"/>
  <c r="G72" i="2"/>
  <c r="I72" i="2" s="1"/>
  <c r="K72" i="2"/>
  <c r="K71" i="2"/>
  <c r="G70" i="2"/>
  <c r="I70" i="2" s="1"/>
  <c r="K70" i="2"/>
  <c r="G69" i="2"/>
  <c r="I69" i="2" s="1"/>
  <c r="K69" i="2"/>
  <c r="G68" i="2"/>
  <c r="I68" i="2" s="1"/>
  <c r="K68" i="2"/>
  <c r="H61" i="2" l="1"/>
  <c r="G67" i="2" l="1"/>
  <c r="I67" i="2" s="1"/>
  <c r="K67" i="2"/>
  <c r="G66" i="2"/>
  <c r="I66" i="2" s="1"/>
  <c r="K66" i="2"/>
  <c r="H18" i="2" l="1"/>
  <c r="H239" i="3" l="1"/>
  <c r="H238" i="3"/>
  <c r="H237" i="3"/>
  <c r="H236" i="3"/>
  <c r="H235" i="3"/>
  <c r="H234" i="3"/>
  <c r="H233" i="3"/>
  <c r="H22" i="2" l="1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G26" i="2" l="1"/>
  <c r="I26" i="2" s="1"/>
  <c r="G27" i="2"/>
  <c r="I27" i="2" s="1"/>
  <c r="G28" i="2"/>
  <c r="I28" i="2" s="1"/>
  <c r="G29" i="2"/>
  <c r="I29" i="2" s="1"/>
  <c r="G46" i="2"/>
  <c r="I46" i="2" s="1"/>
  <c r="G45" i="2"/>
  <c r="I45" i="2" s="1"/>
  <c r="G44" i="2"/>
  <c r="I44" i="2" s="1"/>
  <c r="G42" i="2"/>
  <c r="I42" i="2" s="1"/>
  <c r="G40" i="2"/>
  <c r="I40" i="2" s="1"/>
  <c r="G39" i="2"/>
  <c r="I39" i="2" s="1"/>
  <c r="G36" i="2"/>
  <c r="I36" i="2" s="1"/>
  <c r="G47" i="2" l="1"/>
  <c r="I47" i="2" s="1"/>
  <c r="G48" i="2"/>
  <c r="I48" i="2" s="1"/>
  <c r="G49" i="2"/>
  <c r="I49" i="2" s="1"/>
  <c r="G50" i="2"/>
  <c r="I50" i="2" s="1"/>
  <c r="G51" i="2"/>
  <c r="I51" i="2" s="1"/>
  <c r="G52" i="2"/>
  <c r="I52" i="2" s="1"/>
  <c r="G53" i="2"/>
  <c r="I53" i="2" s="1"/>
  <c r="G54" i="2"/>
  <c r="I54" i="2" s="1"/>
  <c r="G55" i="2"/>
  <c r="I55" i="2" s="1"/>
  <c r="G56" i="2"/>
  <c r="I56" i="2" s="1"/>
  <c r="G57" i="2"/>
  <c r="I57" i="2" s="1"/>
  <c r="G58" i="2"/>
  <c r="I58" i="2" s="1"/>
  <c r="G59" i="2"/>
  <c r="I59" i="2" s="1"/>
  <c r="G60" i="2"/>
  <c r="I60" i="2" s="1"/>
  <c r="G61" i="2"/>
  <c r="I61" i="2" s="1"/>
  <c r="G62" i="2"/>
  <c r="I62" i="2" s="1"/>
  <c r="G63" i="2"/>
  <c r="I63" i="2" s="1"/>
  <c r="G64" i="2"/>
  <c r="I64" i="2" s="1"/>
  <c r="G65" i="2"/>
  <c r="I65" i="2" s="1"/>
  <c r="G43" i="2" l="1"/>
  <c r="I43" i="2" s="1"/>
  <c r="G41" i="2"/>
  <c r="I41" i="2" s="1"/>
  <c r="G38" i="2"/>
  <c r="I38" i="2" s="1"/>
  <c r="G37" i="2"/>
  <c r="I37" i="2" s="1"/>
  <c r="G35" i="2"/>
  <c r="I35" i="2" s="1"/>
  <c r="G34" i="2"/>
  <c r="I34" i="2" s="1"/>
  <c r="G33" i="2"/>
  <c r="I33" i="2" s="1"/>
  <c r="G32" i="2"/>
  <c r="I32" i="2" s="1"/>
  <c r="G31" i="2"/>
  <c r="I31" i="2" s="1"/>
  <c r="G30" i="2"/>
  <c r="I30" i="2" s="1"/>
  <c r="G25" i="2"/>
  <c r="I25" i="2" s="1"/>
  <c r="G24" i="2"/>
  <c r="I24" i="2" s="1"/>
  <c r="G23" i="2"/>
  <c r="I23" i="2" s="1"/>
  <c r="G22" i="2"/>
  <c r="I22" i="2" s="1"/>
  <c r="G21" i="2"/>
  <c r="I21" i="2" s="1"/>
  <c r="G20" i="2"/>
  <c r="I20" i="2" s="1"/>
  <c r="G19" i="2"/>
  <c r="I19" i="2" s="1"/>
  <c r="G18" i="2"/>
  <c r="I18" i="2" s="1"/>
  <c r="G17" i="2"/>
  <c r="I17" i="2" s="1"/>
  <c r="G16" i="2"/>
  <c r="I16" i="2" s="1"/>
  <c r="G15" i="2"/>
  <c r="I15" i="2" s="1"/>
  <c r="G14" i="2"/>
  <c r="I14" i="2" s="1"/>
  <c r="G13" i="2"/>
  <c r="I13" i="2" s="1"/>
  <c r="G12" i="2"/>
  <c r="I12" i="2" s="1"/>
  <c r="G11" i="2"/>
  <c r="I11" i="2" s="1"/>
  <c r="G10" i="2"/>
  <c r="I10" i="2" s="1"/>
  <c r="G9" i="2"/>
  <c r="I9" i="2" s="1"/>
  <c r="G8" i="2"/>
  <c r="I8" i="2" s="1"/>
  <c r="G7" i="2"/>
  <c r="I7" i="2" s="1"/>
  <c r="G6" i="2"/>
  <c r="I6" i="2" s="1"/>
</calcChain>
</file>

<file path=xl/sharedStrings.xml><?xml version="1.0" encoding="utf-8"?>
<sst xmlns="http://schemas.openxmlformats.org/spreadsheetml/2006/main" count="789" uniqueCount="284">
  <si>
    <t>Specs</t>
  </si>
  <si>
    <t>Used</t>
  </si>
  <si>
    <t>Remaining</t>
  </si>
  <si>
    <t>7/27/2020</t>
  </si>
  <si>
    <t>7/9/2020</t>
  </si>
  <si>
    <t>7/20/2020</t>
  </si>
  <si>
    <t>7/10/2020</t>
  </si>
  <si>
    <t>6/1/2020</t>
  </si>
  <si>
    <t>2/19/2020</t>
  </si>
  <si>
    <t>5/11/2020</t>
  </si>
  <si>
    <t>3/3/2020</t>
  </si>
  <si>
    <t>12/09/2019</t>
  </si>
  <si>
    <t>Nキャスト&lt;73&gt;ME80E</t>
  </si>
  <si>
    <t>5/21/2020</t>
  </si>
  <si>
    <t>7/18/2020</t>
  </si>
  <si>
    <t>7/29/2020</t>
  </si>
  <si>
    <t>First Order</t>
  </si>
  <si>
    <t>LINE</t>
  </si>
  <si>
    <t>NAME</t>
  </si>
  <si>
    <t>IMPORT DATE</t>
  </si>
  <si>
    <t>REMAINING</t>
  </si>
  <si>
    <t>COLOR STD Date</t>
  </si>
  <si>
    <t>UV161</t>
  </si>
  <si>
    <t>石油ソープ　D2628 赤</t>
  </si>
  <si>
    <t>前田工繊ペーブ金赤</t>
  </si>
  <si>
    <t>エコスマイル　W 赤</t>
  </si>
  <si>
    <t>ユタカ金赤</t>
  </si>
  <si>
    <t>D285 赤</t>
  </si>
  <si>
    <t>ロイヤルソフター　赤</t>
  </si>
  <si>
    <t>D-49 濃ピンク</t>
  </si>
  <si>
    <t>D-276 ピンク</t>
  </si>
  <si>
    <t>D24 ピンク</t>
  </si>
  <si>
    <t>D-77 ピンク（コート）</t>
  </si>
  <si>
    <t>D-499 エンジ（コート）</t>
  </si>
  <si>
    <t>D-2237 ピンク（コート）</t>
  </si>
  <si>
    <t>D49 ピンク</t>
  </si>
  <si>
    <t>エストラル　AD19 桃</t>
  </si>
  <si>
    <t>ネオアーシュ　ピンク</t>
  </si>
  <si>
    <t>カイトウイン　ピンク</t>
  </si>
  <si>
    <t>アスティーオン　オレンジ</t>
  </si>
  <si>
    <t>D82 オレンジ</t>
  </si>
  <si>
    <t>リフレシア　BW20 オレンジ</t>
  </si>
  <si>
    <t>エコスマイル　S オレンジ</t>
  </si>
  <si>
    <t>メディカール　AKDX オレンジ</t>
  </si>
  <si>
    <t>シャープ　洗浄剤　ラベル　オレンジ</t>
  </si>
  <si>
    <t>ドライバリガードオレンジ</t>
  </si>
  <si>
    <t>ソイレスUN オレンジ</t>
  </si>
  <si>
    <t>１</t>
  </si>
  <si>
    <t>かきもち　オレンジ</t>
  </si>
  <si>
    <t>ユタカ防災　オレンジ</t>
  </si>
  <si>
    <t>シャープ 洗浄剤　ラベル　オレンジ</t>
  </si>
  <si>
    <t>エストラルOB02 オレンジ</t>
  </si>
  <si>
    <t>UVRNC</t>
  </si>
  <si>
    <t>耐減感出口様用　紺藍</t>
  </si>
  <si>
    <t>耐減感出口様用　11 濃緑</t>
  </si>
  <si>
    <t>耐減感出口様用　牡丹</t>
  </si>
  <si>
    <t>D-181 青</t>
  </si>
  <si>
    <t>白洋舎モップオイルH10 青</t>
  </si>
  <si>
    <t>N/A</t>
  </si>
  <si>
    <t>D-182 青</t>
  </si>
  <si>
    <t>D-99 濃青</t>
  </si>
  <si>
    <t>D-180 青</t>
  </si>
  <si>
    <t>D-2166 青(コート)</t>
  </si>
  <si>
    <t>ケアウォッシュ(17KG) 青</t>
  </si>
  <si>
    <t>D-2167 水色</t>
  </si>
  <si>
    <t>ハナビアンVS150 水色</t>
  </si>
  <si>
    <t>D-641 青(コート)</t>
  </si>
  <si>
    <t>D-2167 水色(コート)</t>
  </si>
  <si>
    <t>D-2177 青(コート)</t>
  </si>
  <si>
    <t>D-178 浅葱</t>
  </si>
  <si>
    <t>D-140 青</t>
  </si>
  <si>
    <t>P-2726C 青</t>
  </si>
  <si>
    <t>ユタカ花粉分ユリ　青</t>
  </si>
  <si>
    <t>サンフレンド　青</t>
  </si>
  <si>
    <t>エコスマイル BO（10KG）青</t>
  </si>
  <si>
    <t>愛育病院内用薬　青</t>
  </si>
  <si>
    <t>テクノクリアN5L 水色</t>
  </si>
  <si>
    <t>ドライスター　青</t>
  </si>
  <si>
    <t>サンフレンド 青</t>
  </si>
  <si>
    <t>WASHハウスソープ</t>
  </si>
  <si>
    <t>サンレックス3.5 青</t>
  </si>
  <si>
    <t>D-156 赤</t>
  </si>
  <si>
    <t>ロイヤルソフター  赤</t>
  </si>
  <si>
    <t>ニッカサンブリーチ　赤</t>
  </si>
  <si>
    <t>D-24 ピンク</t>
  </si>
  <si>
    <t>墨S</t>
  </si>
  <si>
    <t>ユタカ500265 ピンク</t>
  </si>
  <si>
    <t>D-82 オレンジ</t>
  </si>
  <si>
    <t>ドライスター　黄</t>
  </si>
  <si>
    <t>ニッカサンブリーチ 黄</t>
  </si>
  <si>
    <t>ルピランソープ　緑</t>
  </si>
  <si>
    <t>オーリス　緑</t>
  </si>
  <si>
    <t>D-2650 緑</t>
  </si>
  <si>
    <t>ELP 緑</t>
  </si>
  <si>
    <t>D-638 緑</t>
  </si>
  <si>
    <t>イスタポール　青</t>
  </si>
  <si>
    <t>ドライイスター　青</t>
  </si>
  <si>
    <t>ユタカ　浅葱</t>
  </si>
  <si>
    <t>STERISH N104(4L）　青</t>
  </si>
  <si>
    <t>WASH ハウスソープ　青</t>
  </si>
  <si>
    <t>D-222 紺</t>
  </si>
  <si>
    <t>ユタカ　オレンジ</t>
  </si>
  <si>
    <t>ユタカ500249 青</t>
  </si>
  <si>
    <t>エコマックスAN(15K) 青</t>
  </si>
  <si>
    <t>エビトーム　青</t>
  </si>
  <si>
    <t>ニューボン　S20W 青</t>
  </si>
  <si>
    <t>エストラル　水色</t>
  </si>
  <si>
    <t>エコスマイル LQ22 青</t>
  </si>
  <si>
    <t>ユタカ　黄緑</t>
  </si>
  <si>
    <t>D-2568 緑</t>
  </si>
  <si>
    <t>D-2560 緑</t>
  </si>
  <si>
    <t>ドライスター  黄</t>
  </si>
  <si>
    <t>ケアソフター17KG 黄</t>
  </si>
  <si>
    <t>STERISH A105(5L) 黄</t>
  </si>
  <si>
    <t>トリノユサン表　黄</t>
  </si>
  <si>
    <t>D-164 黄土(コート)</t>
  </si>
  <si>
    <t>D-570 黄</t>
  </si>
  <si>
    <t>ルピランソープ　黄</t>
  </si>
  <si>
    <t>ルピランソーフター　黄</t>
  </si>
  <si>
    <t>テクノザイム401 黄</t>
  </si>
  <si>
    <t>ユタカ　黄</t>
  </si>
  <si>
    <t>ニッカサンブリーチ　黄</t>
  </si>
  <si>
    <t>酸素系NA05 黄</t>
  </si>
  <si>
    <t>ルピランソフター　ピンク</t>
  </si>
  <si>
    <t>D-276 ピンク(コート）</t>
  </si>
  <si>
    <t>カイトコイン</t>
  </si>
  <si>
    <t>NA</t>
  </si>
  <si>
    <t>エストラル　青</t>
  </si>
  <si>
    <t>シーテックK 水色</t>
  </si>
  <si>
    <t>トリノコサン　青</t>
  </si>
  <si>
    <t>ニッカサンブリーチ　青</t>
  </si>
  <si>
    <t>STERISH N104(4L）　水色</t>
  </si>
  <si>
    <t>STERISH N105(5L) 青</t>
  </si>
  <si>
    <t>アトムベッド　青</t>
  </si>
  <si>
    <t>ユタカ　水色</t>
  </si>
  <si>
    <t>メディカール NX20 青</t>
  </si>
  <si>
    <t>ソーピーセブン　紺</t>
  </si>
  <si>
    <t>シプロ化成　紺藍</t>
  </si>
  <si>
    <t>ニッカサンブリーチ　紺</t>
  </si>
  <si>
    <t>スペクトロ　紺</t>
  </si>
  <si>
    <t>UVカット　紺　500238</t>
  </si>
  <si>
    <t>VF365 紺</t>
  </si>
  <si>
    <t>D-99 青</t>
  </si>
  <si>
    <t>エクシート様　グレー</t>
  </si>
  <si>
    <t>D-185 紺(コート）</t>
  </si>
  <si>
    <t>カイトコイン　黄</t>
  </si>
  <si>
    <t>カイトコイン　青</t>
  </si>
  <si>
    <t>ユタカ500230 緑</t>
  </si>
  <si>
    <t>ユタカ500228 緑</t>
  </si>
  <si>
    <t>ユタカ花粉ホユリ　緑</t>
  </si>
  <si>
    <t>日華　グリン</t>
  </si>
  <si>
    <t>MUN760S 緑</t>
  </si>
  <si>
    <t>中性酵素SDNUーN4 緑</t>
  </si>
  <si>
    <t>ワイドスキップS 緑</t>
  </si>
  <si>
    <t>リポブライト　緑</t>
  </si>
  <si>
    <t>エコティスパウダー　緑</t>
  </si>
  <si>
    <t>エストラフGT33 緑</t>
  </si>
  <si>
    <t>テクノソフターN 緑</t>
  </si>
  <si>
    <t>P-369 C 緑</t>
  </si>
  <si>
    <t>エコスマイル SJ(10K) 緑</t>
  </si>
  <si>
    <t>エコティスパウダー 黄緑</t>
  </si>
  <si>
    <t>カイトコイン　緑</t>
  </si>
  <si>
    <t>ネオアージュ　緑</t>
  </si>
  <si>
    <t>ルピランソープ 緑</t>
  </si>
  <si>
    <t>耐減感11 濃緑</t>
  </si>
  <si>
    <t>エルモアEL88 緑</t>
  </si>
  <si>
    <t>安田蒲鉾　黄緑</t>
  </si>
  <si>
    <t>エコスマイルDX 紫</t>
  </si>
  <si>
    <t>ユタカ　赤紫</t>
  </si>
  <si>
    <t>オーりス64 紫</t>
  </si>
  <si>
    <t>D106 紫</t>
  </si>
  <si>
    <t>テクノウォッシュ　N18 肌色</t>
  </si>
  <si>
    <t>Color</t>
  </si>
  <si>
    <t>STD sheet's Date</t>
  </si>
  <si>
    <t>D-367 緑(コート）</t>
  </si>
  <si>
    <t>D-435 紺(コート)</t>
  </si>
  <si>
    <t>D-2591 青</t>
  </si>
  <si>
    <t>D-49 ピンク</t>
  </si>
  <si>
    <t>蛍光　D-2062 クリーム</t>
  </si>
  <si>
    <t>D-91 緑</t>
  </si>
  <si>
    <t>D-182 濃青</t>
  </si>
  <si>
    <t>D-60 黄緑</t>
  </si>
  <si>
    <t>D-2552 緑</t>
  </si>
  <si>
    <t>D-224 紫</t>
  </si>
  <si>
    <t>D-142 青</t>
  </si>
  <si>
    <t>トリノコサン　黄土</t>
  </si>
  <si>
    <t>ルピランソフター 黄</t>
  </si>
  <si>
    <t>オリース　緑</t>
  </si>
  <si>
    <t>カイトコイン　ピンク</t>
  </si>
  <si>
    <t>トリノコサン表　黄</t>
  </si>
  <si>
    <t>UVカット　緑　500238</t>
  </si>
  <si>
    <t>パルトナソフター17 黄士</t>
  </si>
  <si>
    <t>D-3　淡ピンク</t>
  </si>
  <si>
    <t>Order Code</t>
  </si>
  <si>
    <t>重要用紙　失赤</t>
  </si>
  <si>
    <t>D-3 淡ピンク</t>
  </si>
  <si>
    <t>COLOR STD</t>
  </si>
  <si>
    <t>n/a</t>
  </si>
  <si>
    <t>Width</t>
  </si>
  <si>
    <t>Length</t>
  </si>
  <si>
    <t>Roll</t>
  </si>
  <si>
    <t>Total</t>
  </si>
  <si>
    <t>Paper Summary</t>
  </si>
  <si>
    <t>Index</t>
  </si>
  <si>
    <t xml:space="preserve">&lt;&lt;&lt; Type&amp;Hit Enter for Searching </t>
  </si>
  <si>
    <t>店頭用シール　金　赤口</t>
  </si>
  <si>
    <t>MC1000(5L) ピンク</t>
  </si>
  <si>
    <t>CLEANTOP 水色</t>
  </si>
  <si>
    <t>アルカチャレンジ　青</t>
  </si>
  <si>
    <t>8/4/2020</t>
  </si>
  <si>
    <t>PET50Sマット</t>
  </si>
  <si>
    <t>8/6/2020</t>
  </si>
  <si>
    <t>13/12/2018</t>
  </si>
  <si>
    <t>4/6/2019</t>
  </si>
  <si>
    <t>Yellow</t>
  </si>
  <si>
    <t>Blue</t>
  </si>
  <si>
    <t>UV161</t>
    <phoneticPr fontId="3"/>
  </si>
  <si>
    <t>3/18/2019</t>
    <phoneticPr fontId="3"/>
  </si>
  <si>
    <t>White</t>
    <phoneticPr fontId="3"/>
  </si>
  <si>
    <t>n/a</t>
    <phoneticPr fontId="3"/>
  </si>
  <si>
    <t>Blue</t>
    <phoneticPr fontId="3"/>
  </si>
  <si>
    <t>Yellow</t>
    <phoneticPr fontId="3"/>
  </si>
  <si>
    <t>n/a</t>
    <phoneticPr fontId="3"/>
  </si>
  <si>
    <t>Blue</t>
    <phoneticPr fontId="3"/>
  </si>
  <si>
    <t>n/a</t>
    <phoneticPr fontId="3"/>
  </si>
  <si>
    <t>Yellow</t>
    <phoneticPr fontId="3"/>
  </si>
  <si>
    <t>3/10/?</t>
    <phoneticPr fontId="3"/>
  </si>
  <si>
    <t>n/a</t>
    <phoneticPr fontId="3"/>
  </si>
  <si>
    <t>n/a</t>
    <phoneticPr fontId="3"/>
  </si>
  <si>
    <t>IJPマットコート</t>
  </si>
  <si>
    <t>ヤート&lt;73&gt;メモリー訂正 80H</t>
  </si>
  <si>
    <t>N 上質&lt;55&gt;ME 7GB</t>
  </si>
  <si>
    <t>N 上質&lt;55&gt;ME 80E</t>
  </si>
  <si>
    <t>Starting collect and complete the data</t>
  </si>
  <si>
    <t>Change Log</t>
  </si>
  <si>
    <t>Auto calibrating table size in pivotatable</t>
  </si>
  <si>
    <t>Last update at</t>
  </si>
  <si>
    <t>ユタカ花粉ホコリ　緑</t>
  </si>
  <si>
    <t>ユタカ花粉ホコリ　青</t>
  </si>
  <si>
    <t>サンレックスKスカイ　緑</t>
  </si>
  <si>
    <t>オイル交換シール　緑</t>
  </si>
  <si>
    <t>オーリス64 紫</t>
  </si>
  <si>
    <t>Dー162　オレンジ</t>
  </si>
  <si>
    <t>テクノクリア　５LX４</t>
  </si>
  <si>
    <t>テクノクリアN5L 水色 D2166?</t>
  </si>
  <si>
    <t>何々茶</t>
  </si>
  <si>
    <t>エコルセNB22 青</t>
  </si>
  <si>
    <t>エコルセNB22 オレンジ</t>
  </si>
  <si>
    <t>エコルセNB22 紺</t>
  </si>
  <si>
    <t>パルトナソフター　黄土</t>
  </si>
  <si>
    <t>finishing update INK</t>
  </si>
  <si>
    <t>8/17/2020</t>
  </si>
  <si>
    <t>Arrival</t>
  </si>
  <si>
    <t>Lining</t>
  </si>
  <si>
    <t>y ユポ80 MDN 8GB</t>
  </si>
  <si>
    <t>Type  Enter for Searching</t>
  </si>
  <si>
    <t>Last updated at</t>
  </si>
  <si>
    <t>Slitting</t>
  </si>
  <si>
    <t xml:space="preserve"> </t>
  </si>
  <si>
    <t>j 上質</t>
  </si>
  <si>
    <t>j 上質55 ME 80E</t>
  </si>
  <si>
    <t>j 上質&lt;55&gt;PC 7GB</t>
  </si>
  <si>
    <t>j 上質&lt;70&gt; ME 7GB</t>
  </si>
  <si>
    <r>
      <t>IJP</t>
    </r>
    <r>
      <rPr>
        <sz val="14"/>
        <color theme="1"/>
        <rFont val="ＭＳ Ｐゴシック"/>
        <family val="3"/>
        <charset val="128"/>
      </rPr>
      <t>マットコート</t>
    </r>
  </si>
  <si>
    <r>
      <rPr>
        <sz val="14"/>
        <color theme="1"/>
        <rFont val="ＭＳ Ｐゴシック"/>
        <family val="3"/>
        <charset val="128"/>
      </rPr>
      <t>ヤート</t>
    </r>
    <r>
      <rPr>
        <sz val="14"/>
        <color theme="1"/>
        <rFont val="Fira Code"/>
      </rPr>
      <t>&lt;73&gt;</t>
    </r>
    <r>
      <rPr>
        <sz val="14"/>
        <color theme="1"/>
        <rFont val="ＭＳ Ｐゴシック"/>
        <family val="3"/>
        <charset val="128"/>
      </rPr>
      <t>メモリー訂正</t>
    </r>
    <r>
      <rPr>
        <sz val="14"/>
        <color theme="1"/>
        <rFont val="Fira Code"/>
      </rPr>
      <t xml:space="preserve"> 80H</t>
    </r>
  </si>
  <si>
    <r>
      <t xml:space="preserve">DIC83 </t>
    </r>
    <r>
      <rPr>
        <sz val="14"/>
        <color theme="1"/>
        <rFont val="ＭＳ Ｐゴシック"/>
        <family val="3"/>
        <charset val="128"/>
      </rPr>
      <t>ドライバリガードオレンジ</t>
    </r>
  </si>
  <si>
    <t>8/19/2020</t>
  </si>
  <si>
    <t>New Pivot table, easy to check. Font size decreased</t>
  </si>
  <si>
    <t>i 一本刃</t>
  </si>
  <si>
    <t>8/20/2020</t>
  </si>
  <si>
    <t>インステゥルメントミルク</t>
  </si>
  <si>
    <t>8/26/2020</t>
  </si>
  <si>
    <t>8/24/2020</t>
  </si>
  <si>
    <t>Format remain ink cell color based on %</t>
  </si>
  <si>
    <t>8/31/2020</t>
  </si>
  <si>
    <t>Item</t>
  </si>
  <si>
    <t>D5-2557 緑</t>
  </si>
  <si>
    <r>
      <t>N</t>
    </r>
    <r>
      <rPr>
        <sz val="14"/>
        <color rgb="FF00B0F0"/>
        <rFont val="ＭＳ Ｐゴシック"/>
        <family val="3"/>
        <charset val="128"/>
      </rPr>
      <t>キャスト</t>
    </r>
    <r>
      <rPr>
        <sz val="14"/>
        <color rgb="FF00B0F0"/>
        <rFont val="Fira Code"/>
      </rPr>
      <t>&lt;73&gt;ME80E</t>
    </r>
  </si>
  <si>
    <t>9/8/2020</t>
  </si>
  <si>
    <t>9/10/2020</t>
  </si>
  <si>
    <t>9/10/2020</t>
    <phoneticPr fontId="3"/>
  </si>
  <si>
    <t>y ユポ80 MDN 8GB</t>
    <phoneticPr fontId="3"/>
  </si>
  <si>
    <t>3/5/2020</t>
    <phoneticPr fontId="3"/>
  </si>
  <si>
    <t>Nキャスト&lt;73&gt;ME80E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</si>
</sst>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[$-409]m/d/yyyy\ h:mm\ AM/PM;@"/>
    <numFmt numFmtId="177" formatCode="[$-409]m/d/yy\ h:mm\ AM/PM;@"/>
  </numFmts>
  <fonts count="23">
    <font>
      <sz val="16"/>
      <color theme="1"/>
      <name val="Fira Code"/>
    </font>
    <font>
      <sz val="16"/>
      <color theme="1"/>
      <name val="Calibri"/>
      <family val="2"/>
    </font>
    <font>
      <sz val="16"/>
      <color rgb="FF000000"/>
      <name val="Fira Code"/>
    </font>
    <font>
      <sz val="8"/>
      <name val="ＭＳ Ｐゴシック"/>
      <family val="3"/>
      <charset val="128"/>
    </font>
    <font>
      <b/>
      <i/>
      <sz val="18"/>
      <color theme="1"/>
      <name val="Fira Code"/>
    </font>
    <font>
      <sz val="18"/>
      <color theme="1"/>
      <name val="Fira Code"/>
    </font>
    <font>
      <sz val="16"/>
      <color rgb="FFFF0000"/>
      <name val="Fira Code"/>
    </font>
    <font>
      <b/>
      <i/>
      <sz val="18"/>
      <color rgb="FF00B0F0"/>
      <name val="Fira Code"/>
    </font>
    <font>
      <sz val="14"/>
      <color theme="1"/>
      <name val="Fira Code"/>
    </font>
    <font>
      <sz val="14"/>
      <color theme="1"/>
      <name val="ＭＳ Ｐゴシック"/>
      <family val="3"/>
      <charset val="128"/>
    </font>
    <font>
      <sz val="14"/>
      <color rgb="FFFF0000"/>
      <name val="Fira Code"/>
    </font>
    <font>
      <sz val="14"/>
      <color rgb="FF00B0F0"/>
      <name val="Fira Code"/>
    </font>
    <font>
      <sz val="14"/>
      <color theme="1"/>
      <name val="Calibri"/>
      <family val="2"/>
    </font>
    <font>
      <sz val="14"/>
      <color rgb="FFFF0000"/>
      <name val="ＭＳ Ｐゴシック"/>
      <family val="3"/>
      <charset val="128"/>
    </font>
    <font>
      <sz val="14"/>
      <color theme="1"/>
      <name val="Fira Code Regular"/>
    </font>
    <font>
      <sz val="14"/>
      <color rgb="FF000000"/>
      <name val="Fira Code Regular"/>
    </font>
    <font>
      <sz val="14"/>
      <color rgb="FF00B0F0"/>
      <name val="Fira Code"/>
      <family val="3"/>
      <charset val="128"/>
    </font>
    <font>
      <sz val="14"/>
      <name val="Fira Code"/>
    </font>
    <font>
      <sz val="14"/>
      <color rgb="FF00B0F0"/>
      <name val="ＭＳ Ｐゴシック"/>
      <family val="3"/>
      <charset val="128"/>
    </font>
    <font>
      <sz val="8"/>
      <name val="Tsukushi A Round Gothic Bold"/>
      <family val="3"/>
      <charset val="128"/>
    </font>
    <font>
      <sz val="14"/>
      <color rgb="FF000000"/>
      <name val="Fira Code"/>
    </font>
    <font>
      <sz val="14"/>
      <color rgb="FF000000"/>
      <name val="Calibri"/>
      <family val="2"/>
    </font>
    <font>
      <sz val="14"/>
      <color rgb="FF00B0F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8EA9DB"/>
      </left>
      <right/>
      <top style="thin">
        <color rgb="FF8EA9DB"/>
      </top>
      <bottom style="thin">
        <color rgb="FF8EA9DB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/>
      <right style="thin">
        <color rgb="FF8EA9DB"/>
      </right>
      <top style="thin">
        <color rgb="FF8EA9DB"/>
      </top>
      <bottom style="thin">
        <color rgb="FF8EA9DB"/>
      </bottom>
      <diagonal/>
    </border>
  </borders>
  <cellStyleXfs count="1">
    <xf numFmtId="0" fontId="0" fillId="0" borderId="0"/>
  </cellStyleXfs>
  <cellXfs count="63">
    <xf numFmtId="0" fontId="0" fillId="0" borderId="0" xfId="0" applyFont="1" applyAlignment="1"/>
    <xf numFmtId="0" fontId="1" fillId="0" borderId="0" xfId="0" applyFont="1"/>
    <xf numFmtId="14" fontId="0" fillId="0" borderId="0" xfId="0" applyNumberFormat="1" applyFont="1"/>
    <xf numFmtId="0" fontId="2" fillId="0" borderId="0" xfId="0" applyFont="1"/>
    <xf numFmtId="14" fontId="2" fillId="0" borderId="0" xfId="0" applyNumberFormat="1" applyFont="1"/>
    <xf numFmtId="0" fontId="0" fillId="0" borderId="2" xfId="0" applyFont="1" applyBorder="1" applyAlignment="1">
      <alignment horizontal="left"/>
    </xf>
    <xf numFmtId="0" fontId="0" fillId="0" borderId="2" xfId="0" applyNumberFormat="1" applyFont="1" applyBorder="1" applyAlignment="1"/>
    <xf numFmtId="0" fontId="0" fillId="0" borderId="2" xfId="0" pivotButton="1" applyFont="1" applyBorder="1" applyAlignment="1">
      <alignment horizontal="center"/>
    </xf>
    <xf numFmtId="49" fontId="8" fillId="0" borderId="0" xfId="0" applyNumberFormat="1" applyFont="1" applyAlignment="1"/>
    <xf numFmtId="0" fontId="8" fillId="0" borderId="0" xfId="0" applyFont="1" applyAlignment="1"/>
    <xf numFmtId="49" fontId="9" fillId="4" borderId="6" xfId="0" applyNumberFormat="1" applyFont="1" applyFill="1" applyBorder="1" applyAlignment="1"/>
    <xf numFmtId="0" fontId="8" fillId="0" borderId="0" xfId="0" applyFont="1"/>
    <xf numFmtId="176" fontId="8" fillId="0" borderId="0" xfId="0" applyNumberFormat="1" applyFont="1" applyBorder="1" applyAlignment="1"/>
    <xf numFmtId="0" fontId="12" fillId="0" borderId="0" xfId="0" applyFont="1"/>
    <xf numFmtId="0" fontId="12" fillId="0" borderId="0" xfId="0" applyFont="1" applyAlignment="1"/>
    <xf numFmtId="49" fontId="8" fillId="0" borderId="0" xfId="0" applyNumberFormat="1" applyFont="1" applyAlignment="1">
      <alignment vertical="center"/>
    </xf>
    <xf numFmtId="0" fontId="10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8" fillId="0" borderId="0" xfId="0" applyNumberFormat="1" applyFont="1" applyAlignment="1"/>
    <xf numFmtId="0" fontId="13" fillId="0" borderId="0" xfId="0" applyFont="1" applyAlignment="1">
      <alignment vertical="center"/>
    </xf>
    <xf numFmtId="0" fontId="14" fillId="0" borderId="0" xfId="0" applyFont="1" applyAlignment="1">
      <alignment horizontal="left" vertical="center"/>
    </xf>
    <xf numFmtId="14" fontId="14" fillId="0" borderId="0" xfId="0" applyNumberFormat="1" applyFont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14" fontId="14" fillId="0" borderId="0" xfId="0" applyNumberFormat="1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4" fillId="2" borderId="3" xfId="0" applyFont="1" applyFill="1" applyBorder="1" applyAlignment="1">
      <alignment horizontal="left" vertical="center"/>
    </xf>
    <xf numFmtId="0" fontId="14" fillId="0" borderId="0" xfId="0" applyFont="1" applyBorder="1" applyAlignment="1">
      <alignment horizontal="left" vertical="center"/>
    </xf>
    <xf numFmtId="0" fontId="14" fillId="0" borderId="0" xfId="0" applyNumberFormat="1" applyFont="1" applyBorder="1" applyAlignment="1">
      <alignment horizontal="left" vertical="center"/>
    </xf>
    <xf numFmtId="0" fontId="0" fillId="0" borderId="0" xfId="0"/>
    <xf numFmtId="0" fontId="9" fillId="3" borderId="2" xfId="0" applyNumberFormat="1" applyFont="1" applyFill="1" applyBorder="1" applyAlignment="1">
      <alignment horizontal="left" vertical="center"/>
    </xf>
    <xf numFmtId="0" fontId="14" fillId="3" borderId="2" xfId="0" applyFont="1" applyFill="1" applyBorder="1" applyAlignment="1">
      <alignment horizontal="left" vertical="center"/>
    </xf>
    <xf numFmtId="0" fontId="16" fillId="5" borderId="0" xfId="0" applyFont="1" applyFill="1" applyAlignment="1">
      <alignment vertical="center"/>
    </xf>
    <xf numFmtId="177" fontId="14" fillId="0" borderId="0" xfId="0" applyNumberFormat="1" applyFont="1" applyBorder="1" applyAlignment="1">
      <alignment horizontal="right" vertical="center"/>
    </xf>
    <xf numFmtId="0" fontId="17" fillId="0" borderId="0" xfId="0" applyFont="1" applyAlignment="1">
      <alignment vertical="center"/>
    </xf>
    <xf numFmtId="0" fontId="0" fillId="0" borderId="0" xfId="0" applyFont="1" applyAlignment="1">
      <alignment horizontal="left" vertical="center"/>
    </xf>
    <xf numFmtId="14" fontId="0" fillId="0" borderId="9" xfId="0" applyNumberFormat="1" applyFont="1" applyBorder="1" applyAlignment="1">
      <alignment horizontal="left" vertical="center"/>
    </xf>
    <xf numFmtId="0" fontId="0" fillId="0" borderId="10" xfId="0" applyFont="1" applyBorder="1" applyAlignment="1">
      <alignment horizontal="left" vertical="center" wrapText="1"/>
    </xf>
    <xf numFmtId="0" fontId="0" fillId="0" borderId="9" xfId="0" applyFont="1" applyBorder="1" applyAlignment="1">
      <alignment horizontal="left" vertical="center" wrapText="1"/>
    </xf>
    <xf numFmtId="0" fontId="0" fillId="0" borderId="10" xfId="0" applyFont="1" applyBorder="1" applyAlignment="1">
      <alignment horizontal="left" vertical="center"/>
    </xf>
    <xf numFmtId="0" fontId="0" fillId="0" borderId="9" xfId="0" applyFont="1" applyBorder="1" applyAlignment="1">
      <alignment horizontal="left" vertical="center"/>
    </xf>
    <xf numFmtId="0" fontId="6" fillId="0" borderId="5" xfId="0" applyFont="1" applyBorder="1" applyAlignment="1">
      <alignment horizontal="left" vertical="center"/>
    </xf>
    <xf numFmtId="0" fontId="0" fillId="0" borderId="13" xfId="0" applyFont="1" applyBorder="1" applyAlignment="1">
      <alignment horizontal="left" vertical="center" wrapText="1"/>
    </xf>
    <xf numFmtId="0" fontId="0" fillId="0" borderId="14" xfId="0" applyFont="1" applyBorder="1" applyAlignment="1">
      <alignment horizontal="left" vertical="center" wrapText="1"/>
    </xf>
    <xf numFmtId="0" fontId="7" fillId="0" borderId="4" xfId="0" applyFont="1" applyBorder="1" applyAlignment="1">
      <alignment vertical="center"/>
    </xf>
    <xf numFmtId="0" fontId="10" fillId="0" borderId="0" xfId="0" applyFont="1"/>
    <xf numFmtId="49" fontId="20" fillId="0" borderId="15" xfId="0" applyNumberFormat="1" applyFont="1" applyBorder="1" applyAlignment="1">
      <alignment vertical="center"/>
    </xf>
    <xf numFmtId="0" fontId="21" fillId="0" borderId="16" xfId="0" applyFont="1" applyBorder="1" applyAlignment="1">
      <alignment vertical="center"/>
    </xf>
    <xf numFmtId="0" fontId="20" fillId="0" borderId="17" xfId="0" applyFont="1" applyBorder="1" applyAlignment="1">
      <alignment vertical="center"/>
    </xf>
    <xf numFmtId="0" fontId="11" fillId="0" borderId="16" xfId="0" applyFont="1" applyBorder="1" applyAlignment="1">
      <alignment vertic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0" fontId="22" fillId="0" borderId="0" xfId="0" applyFont="1" applyAlignment="1">
      <alignment vertical="center"/>
    </xf>
    <xf numFmtId="0" fontId="10" fillId="0" borderId="16" xfId="0" applyFont="1" applyBorder="1" applyAlignment="1">
      <alignment vertic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177" fontId="8" fillId="0" borderId="11" xfId="0" applyNumberFormat="1" applyFont="1" applyBorder="1" applyAlignment="1">
      <alignment horizontal="right" vertical="center"/>
    </xf>
    <xf numFmtId="177" fontId="8" fillId="0" borderId="12" xfId="0" applyNumberFormat="1" applyFont="1" applyBorder="1" applyAlignment="1">
      <alignment horizontal="right" vertical="center"/>
    </xf>
    <xf numFmtId="0" fontId="8" fillId="0" borderId="7" xfId="0" applyFont="1" applyBorder="1" applyAlignment="1">
      <alignment horizontal="left" vertical="center"/>
    </xf>
    <xf numFmtId="0" fontId="8" fillId="0" borderId="8" xfId="0" applyFont="1" applyBorder="1" applyAlignment="1">
      <alignment horizontal="left" vertical="center"/>
    </xf>
    <xf numFmtId="0" fontId="4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</cellXfs>
  <cellStyles count="1">
    <cellStyle name="標準" xfId="0" builtinId="0"/>
  </cellStyles>
  <dxfs count="40"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border>
        <right style="thin">
          <color indexed="64"/>
        </right>
      </border>
    </dxf>
    <dxf>
      <border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40" formatCode="m/d/yy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fill>
        <patternFill patternType="solid">
          <fgColor theme="0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numFmt numFmtId="30" formatCode="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</dxf>
    <dxf>
      <font>
        <strike val="0"/>
        <outline val="0"/>
        <shadow val="0"/>
        <u val="none"/>
        <vertAlign val="baseline"/>
        <sz val="14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customschemas.google.com/relationships/workbookmetadata" Target="metadata"/><Relationship Id="rId4" Type="http://schemas.openxmlformats.org/officeDocument/2006/relationships/worksheet" Target="worksheets/sheet4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292100</xdr:rowOff>
        </xdr:from>
        <xdr:to>
          <xdr:col>5</xdr:col>
          <xdr:colOff>266700</xdr:colOff>
          <xdr:row>2</xdr:row>
          <xdr:rowOff>38100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1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000000"/>
                  </a:solidFill>
                  <a:latin typeface="Fira Code" charset="0"/>
                  <a:cs typeface="Fira Code" charset="0"/>
                </a:rPr>
                <a:t>Making Summary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103.581969444444" createdVersion="3" refreshedVersion="6" minRefreshableVersion="3" recordCount="80" xr:uid="{F51E3C21-06AB-7741-B86A-3A943965C3D4}">
  <cacheSource type="worksheet">
    <worksheetSource ref="A5:K85" sheet="Paper"/>
  </cacheSource>
  <cacheFields count="11">
    <cacheField name="Arrival" numFmtId="49">
      <sharedItems count="28">
        <s v="7/27/2020"/>
        <s v="7/9/2020"/>
        <s v="7/20/2020"/>
        <s v="7/10/2020"/>
        <s v="6/1/2020"/>
        <s v="2/19/2020"/>
        <s v="5/11/2020"/>
        <s v="3/3/2020"/>
        <s v="12/09/2019"/>
        <s v="5/21/2020"/>
        <s v="7/18/2020"/>
        <s v="7/29/2020"/>
        <s v="n/a"/>
        <s v="8/4/2020"/>
        <s v="8/6/2020"/>
        <s v="13/12/2018"/>
        <s v="4/6/2019"/>
        <s v="3/18/2019"/>
        <s v="3/10/?"/>
        <s v="8/17/2020"/>
        <s v="8/19/2020"/>
        <s v="8/20/2020"/>
        <s v="8/24/2020"/>
        <s v="8/26/2020"/>
        <s v="8/31/2020"/>
        <s v="9/8/2020"/>
        <s v="9/10/2020"/>
        <s v="3/5/2020"/>
      </sharedItems>
    </cacheField>
    <cacheField name="Specs" numFmtId="0">
      <sharedItems count="11">
        <s v="y ユポ80 MDN 8GB"/>
        <s v="j 上質"/>
        <s v="Nキャスト&lt;73&gt;ME80E"/>
        <s v="PET50Sマット"/>
        <s v="j 上質55 ME 80E"/>
        <s v="IJPマットコート"/>
        <s v="N 上質&lt;55&gt;ME 7GB"/>
        <s v="j 上質&lt;55&gt;PC 7GB"/>
        <s v="N 上質&lt;55&gt;ME 80E"/>
        <s v="ヤート&lt;73&gt;メモリー訂正 80H"/>
        <s v="j 上質&lt;70&gt; ME 7GB"/>
      </sharedItems>
    </cacheField>
    <cacheField name="Width" numFmtId="0">
      <sharedItems containsSemiMixedTypes="0" containsString="0" containsNumber="1" containsInteger="1" minValue="40" maxValue="215" count="17">
        <n v="185"/>
        <n v="205"/>
        <n v="150"/>
        <n v="90"/>
        <n v="155"/>
        <n v="130"/>
        <n v="125"/>
        <n v="165"/>
        <n v="140"/>
        <n v="135"/>
        <n v="120"/>
        <n v="215"/>
        <n v="100"/>
        <n v="175"/>
        <n v="40"/>
        <n v="160"/>
        <n v="115"/>
      </sharedItems>
    </cacheField>
    <cacheField name="Slitting" numFmtId="0">
      <sharedItems containsBlank="1" count="2">
        <s v="i 一本刃"/>
        <m/>
      </sharedItems>
    </cacheField>
    <cacheField name="Length" numFmtId="0">
      <sharedItems containsSemiMixedTypes="0" containsString="0" containsNumber="1" containsInteger="1" minValue="60" maxValue="600" count="7">
        <n v="600"/>
        <n v="300"/>
        <n v="200"/>
        <n v="100"/>
        <n v="60"/>
        <n v="400"/>
        <n v="80"/>
      </sharedItems>
    </cacheField>
    <cacheField name="Roll" numFmtId="0">
      <sharedItems containsSemiMixedTypes="0" containsString="0" containsNumber="1" containsInteger="1" minValue="1" maxValue="2" count="2">
        <n v="1"/>
        <n v="2"/>
      </sharedItems>
    </cacheField>
    <cacheField name="Total" numFmtId="0">
      <sharedItems containsSemiMixedTypes="0" containsString="0" containsNumber="1" containsInteger="1" minValue="60" maxValue="1200" count="8">
        <n v="600"/>
        <n v="1200"/>
        <n v="300"/>
        <n v="200"/>
        <n v="100"/>
        <n v="60"/>
        <n v="400"/>
        <n v="80"/>
      </sharedItems>
    </cacheField>
    <cacheField name="Used" numFmtId="0">
      <sharedItems containsString="0" containsBlank="1" containsNumber="1" containsInteger="1" minValue="70" maxValue="600" count="16">
        <n v="470"/>
        <m/>
        <n v="600"/>
        <n v="570"/>
        <n v="180"/>
        <n v="70"/>
        <n v="580"/>
        <n v="300"/>
        <n v="480"/>
        <n v="500"/>
        <n v="585"/>
        <n v="380"/>
        <n v="590"/>
        <n v="550"/>
        <n v="400"/>
        <n v="560"/>
      </sharedItems>
    </cacheField>
    <cacheField name="Remaining" numFmtId="0">
      <sharedItems containsSemiMixedTypes="0" containsString="0" containsNumber="1" containsInteger="1" minValue="0" maxValue="1200" count="17">
        <n v="130"/>
        <n v="600"/>
        <n v="1200"/>
        <n v="0"/>
        <n v="30"/>
        <n v="300"/>
        <n v="200"/>
        <n v="20"/>
        <n v="100"/>
        <n v="120"/>
        <n v="60"/>
        <n v="400"/>
        <n v="15"/>
        <n v="80"/>
        <n v="10"/>
        <n v="50"/>
        <n v="40"/>
      </sharedItems>
    </cacheField>
    <cacheField name="Lining" numFmtId="0">
      <sharedItems containsBlank="1" count="4">
        <m/>
        <s v="Blue"/>
        <s v="Yellow"/>
        <s v="White"/>
      </sharedItems>
    </cacheField>
    <cacheField name="Index" numFmtId="0">
      <sharedItems count="28">
        <s v="y ユポ80 MDN 8GB185i 一本刃"/>
        <s v="y ユポ80 MDN 8GB185"/>
        <s v="y ユポ80 MDN 8GB205"/>
        <s v="j 上質150"/>
        <s v="y ユポ80 MDN 8GB90"/>
        <s v="y ユポ80 MDN 8GB155i 一本刃"/>
        <s v="Nキャスト&lt;73&gt;ME80E130"/>
        <s v="y ユポ80 MDN 8GB125i 一本刃"/>
        <s v="y ユポ80 MDN 8GB165"/>
        <s v="y ユポ80 MDN 8GB155"/>
        <s v="y ユポ80 MDN 8GB125"/>
        <s v="j 上質125i 一本刃"/>
        <s v="y ユポ80 MDN 8GB140"/>
        <s v="PET50Sマット90"/>
        <s v="Nキャスト&lt;73&gt;ME80E90"/>
        <s v="j 上質55 ME 80E90"/>
        <s v="j 上質90"/>
        <s v="IJPマットコート135"/>
        <s v="y ユポ80 MDN 8GB205i 一本刃"/>
        <s v="PET50Sマット120"/>
        <s v="y ユポ80 MDN 8GB215"/>
        <s v="N 上質&lt;55&gt;ME 7GB100"/>
        <s v="j 上質&lt;55&gt;PC 7GB100"/>
        <s v="N 上質&lt;55&gt;ME 80E175"/>
        <s v="ヤート&lt;73&gt;メモリー訂正 80H40"/>
        <s v="j 上質&lt;70&gt; ME 7GB160"/>
        <s v="y ユポ80 MDN 8GB115"/>
        <s v="ヤート&lt;73&gt;メモリー訂正 80H10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0">
  <r>
    <x v="0"/>
    <x v="0"/>
    <x v="0"/>
    <x v="0"/>
    <x v="0"/>
    <x v="0"/>
    <x v="0"/>
    <x v="0"/>
    <x v="0"/>
    <x v="0"/>
    <x v="0"/>
  </r>
  <r>
    <x v="1"/>
    <x v="0"/>
    <x v="0"/>
    <x v="1"/>
    <x v="0"/>
    <x v="0"/>
    <x v="0"/>
    <x v="1"/>
    <x v="1"/>
    <x v="0"/>
    <x v="1"/>
  </r>
  <r>
    <x v="2"/>
    <x v="0"/>
    <x v="1"/>
    <x v="1"/>
    <x v="0"/>
    <x v="0"/>
    <x v="0"/>
    <x v="1"/>
    <x v="1"/>
    <x v="0"/>
    <x v="2"/>
  </r>
  <r>
    <x v="3"/>
    <x v="0"/>
    <x v="0"/>
    <x v="0"/>
    <x v="0"/>
    <x v="0"/>
    <x v="0"/>
    <x v="1"/>
    <x v="1"/>
    <x v="0"/>
    <x v="0"/>
  </r>
  <r>
    <x v="4"/>
    <x v="1"/>
    <x v="2"/>
    <x v="1"/>
    <x v="0"/>
    <x v="0"/>
    <x v="0"/>
    <x v="1"/>
    <x v="1"/>
    <x v="0"/>
    <x v="3"/>
  </r>
  <r>
    <x v="5"/>
    <x v="0"/>
    <x v="3"/>
    <x v="1"/>
    <x v="0"/>
    <x v="0"/>
    <x v="0"/>
    <x v="1"/>
    <x v="1"/>
    <x v="0"/>
    <x v="4"/>
  </r>
  <r>
    <x v="6"/>
    <x v="0"/>
    <x v="4"/>
    <x v="0"/>
    <x v="0"/>
    <x v="0"/>
    <x v="0"/>
    <x v="1"/>
    <x v="1"/>
    <x v="0"/>
    <x v="5"/>
  </r>
  <r>
    <x v="7"/>
    <x v="0"/>
    <x v="0"/>
    <x v="1"/>
    <x v="0"/>
    <x v="0"/>
    <x v="0"/>
    <x v="1"/>
    <x v="1"/>
    <x v="0"/>
    <x v="1"/>
  </r>
  <r>
    <x v="8"/>
    <x v="2"/>
    <x v="5"/>
    <x v="1"/>
    <x v="0"/>
    <x v="1"/>
    <x v="1"/>
    <x v="1"/>
    <x v="2"/>
    <x v="0"/>
    <x v="6"/>
  </r>
  <r>
    <x v="9"/>
    <x v="0"/>
    <x v="6"/>
    <x v="0"/>
    <x v="0"/>
    <x v="0"/>
    <x v="0"/>
    <x v="1"/>
    <x v="1"/>
    <x v="1"/>
    <x v="7"/>
  </r>
  <r>
    <x v="10"/>
    <x v="0"/>
    <x v="7"/>
    <x v="1"/>
    <x v="0"/>
    <x v="0"/>
    <x v="0"/>
    <x v="1"/>
    <x v="1"/>
    <x v="0"/>
    <x v="8"/>
  </r>
  <r>
    <x v="10"/>
    <x v="0"/>
    <x v="4"/>
    <x v="1"/>
    <x v="0"/>
    <x v="0"/>
    <x v="0"/>
    <x v="2"/>
    <x v="3"/>
    <x v="0"/>
    <x v="9"/>
  </r>
  <r>
    <x v="2"/>
    <x v="0"/>
    <x v="7"/>
    <x v="1"/>
    <x v="0"/>
    <x v="0"/>
    <x v="0"/>
    <x v="2"/>
    <x v="3"/>
    <x v="0"/>
    <x v="8"/>
  </r>
  <r>
    <x v="5"/>
    <x v="0"/>
    <x v="3"/>
    <x v="1"/>
    <x v="0"/>
    <x v="0"/>
    <x v="0"/>
    <x v="1"/>
    <x v="1"/>
    <x v="0"/>
    <x v="4"/>
  </r>
  <r>
    <x v="4"/>
    <x v="1"/>
    <x v="2"/>
    <x v="1"/>
    <x v="0"/>
    <x v="0"/>
    <x v="0"/>
    <x v="1"/>
    <x v="1"/>
    <x v="0"/>
    <x v="3"/>
  </r>
  <r>
    <x v="11"/>
    <x v="0"/>
    <x v="7"/>
    <x v="1"/>
    <x v="0"/>
    <x v="0"/>
    <x v="0"/>
    <x v="2"/>
    <x v="3"/>
    <x v="0"/>
    <x v="8"/>
  </r>
  <r>
    <x v="11"/>
    <x v="0"/>
    <x v="6"/>
    <x v="1"/>
    <x v="0"/>
    <x v="0"/>
    <x v="0"/>
    <x v="2"/>
    <x v="3"/>
    <x v="1"/>
    <x v="10"/>
  </r>
  <r>
    <x v="11"/>
    <x v="0"/>
    <x v="1"/>
    <x v="1"/>
    <x v="0"/>
    <x v="0"/>
    <x v="0"/>
    <x v="1"/>
    <x v="1"/>
    <x v="0"/>
    <x v="2"/>
  </r>
  <r>
    <x v="11"/>
    <x v="0"/>
    <x v="7"/>
    <x v="1"/>
    <x v="0"/>
    <x v="0"/>
    <x v="0"/>
    <x v="2"/>
    <x v="3"/>
    <x v="0"/>
    <x v="8"/>
  </r>
  <r>
    <x v="11"/>
    <x v="0"/>
    <x v="6"/>
    <x v="1"/>
    <x v="0"/>
    <x v="0"/>
    <x v="0"/>
    <x v="3"/>
    <x v="4"/>
    <x v="1"/>
    <x v="10"/>
  </r>
  <r>
    <x v="12"/>
    <x v="1"/>
    <x v="6"/>
    <x v="0"/>
    <x v="0"/>
    <x v="0"/>
    <x v="0"/>
    <x v="1"/>
    <x v="1"/>
    <x v="1"/>
    <x v="11"/>
  </r>
  <r>
    <x v="12"/>
    <x v="0"/>
    <x v="8"/>
    <x v="1"/>
    <x v="0"/>
    <x v="0"/>
    <x v="0"/>
    <x v="2"/>
    <x v="3"/>
    <x v="0"/>
    <x v="12"/>
  </r>
  <r>
    <x v="12"/>
    <x v="0"/>
    <x v="6"/>
    <x v="0"/>
    <x v="0"/>
    <x v="0"/>
    <x v="0"/>
    <x v="1"/>
    <x v="1"/>
    <x v="1"/>
    <x v="7"/>
  </r>
  <r>
    <x v="12"/>
    <x v="0"/>
    <x v="6"/>
    <x v="0"/>
    <x v="0"/>
    <x v="0"/>
    <x v="0"/>
    <x v="1"/>
    <x v="1"/>
    <x v="1"/>
    <x v="7"/>
  </r>
  <r>
    <x v="13"/>
    <x v="3"/>
    <x v="3"/>
    <x v="1"/>
    <x v="1"/>
    <x v="0"/>
    <x v="2"/>
    <x v="1"/>
    <x v="5"/>
    <x v="0"/>
    <x v="13"/>
  </r>
  <r>
    <x v="14"/>
    <x v="0"/>
    <x v="7"/>
    <x v="1"/>
    <x v="0"/>
    <x v="0"/>
    <x v="0"/>
    <x v="2"/>
    <x v="3"/>
    <x v="0"/>
    <x v="8"/>
  </r>
  <r>
    <x v="15"/>
    <x v="3"/>
    <x v="3"/>
    <x v="1"/>
    <x v="1"/>
    <x v="0"/>
    <x v="2"/>
    <x v="1"/>
    <x v="5"/>
    <x v="0"/>
    <x v="13"/>
  </r>
  <r>
    <x v="16"/>
    <x v="3"/>
    <x v="3"/>
    <x v="1"/>
    <x v="2"/>
    <x v="0"/>
    <x v="3"/>
    <x v="1"/>
    <x v="6"/>
    <x v="0"/>
    <x v="13"/>
  </r>
  <r>
    <x v="12"/>
    <x v="2"/>
    <x v="5"/>
    <x v="1"/>
    <x v="0"/>
    <x v="0"/>
    <x v="0"/>
    <x v="3"/>
    <x v="4"/>
    <x v="2"/>
    <x v="6"/>
  </r>
  <r>
    <x v="12"/>
    <x v="3"/>
    <x v="3"/>
    <x v="1"/>
    <x v="2"/>
    <x v="0"/>
    <x v="3"/>
    <x v="4"/>
    <x v="7"/>
    <x v="0"/>
    <x v="13"/>
  </r>
  <r>
    <x v="12"/>
    <x v="3"/>
    <x v="3"/>
    <x v="1"/>
    <x v="2"/>
    <x v="0"/>
    <x v="3"/>
    <x v="5"/>
    <x v="0"/>
    <x v="0"/>
    <x v="13"/>
  </r>
  <r>
    <x v="12"/>
    <x v="0"/>
    <x v="3"/>
    <x v="1"/>
    <x v="0"/>
    <x v="0"/>
    <x v="0"/>
    <x v="6"/>
    <x v="7"/>
    <x v="0"/>
    <x v="4"/>
  </r>
  <r>
    <x v="12"/>
    <x v="2"/>
    <x v="3"/>
    <x v="1"/>
    <x v="0"/>
    <x v="0"/>
    <x v="0"/>
    <x v="2"/>
    <x v="3"/>
    <x v="1"/>
    <x v="14"/>
  </r>
  <r>
    <x v="12"/>
    <x v="0"/>
    <x v="3"/>
    <x v="1"/>
    <x v="0"/>
    <x v="0"/>
    <x v="0"/>
    <x v="7"/>
    <x v="5"/>
    <x v="1"/>
    <x v="4"/>
  </r>
  <r>
    <x v="12"/>
    <x v="2"/>
    <x v="3"/>
    <x v="1"/>
    <x v="0"/>
    <x v="0"/>
    <x v="0"/>
    <x v="2"/>
    <x v="3"/>
    <x v="0"/>
    <x v="14"/>
  </r>
  <r>
    <x v="12"/>
    <x v="4"/>
    <x v="3"/>
    <x v="1"/>
    <x v="3"/>
    <x v="0"/>
    <x v="4"/>
    <x v="1"/>
    <x v="8"/>
    <x v="2"/>
    <x v="15"/>
  </r>
  <r>
    <x v="12"/>
    <x v="0"/>
    <x v="3"/>
    <x v="1"/>
    <x v="0"/>
    <x v="0"/>
    <x v="0"/>
    <x v="8"/>
    <x v="9"/>
    <x v="1"/>
    <x v="4"/>
  </r>
  <r>
    <x v="12"/>
    <x v="1"/>
    <x v="3"/>
    <x v="1"/>
    <x v="0"/>
    <x v="0"/>
    <x v="0"/>
    <x v="9"/>
    <x v="8"/>
    <x v="1"/>
    <x v="16"/>
  </r>
  <r>
    <x v="12"/>
    <x v="1"/>
    <x v="3"/>
    <x v="1"/>
    <x v="0"/>
    <x v="0"/>
    <x v="0"/>
    <x v="8"/>
    <x v="9"/>
    <x v="1"/>
    <x v="16"/>
  </r>
  <r>
    <x v="12"/>
    <x v="1"/>
    <x v="3"/>
    <x v="1"/>
    <x v="0"/>
    <x v="0"/>
    <x v="0"/>
    <x v="7"/>
    <x v="5"/>
    <x v="1"/>
    <x v="16"/>
  </r>
  <r>
    <x v="12"/>
    <x v="1"/>
    <x v="3"/>
    <x v="1"/>
    <x v="0"/>
    <x v="0"/>
    <x v="0"/>
    <x v="6"/>
    <x v="7"/>
    <x v="1"/>
    <x v="16"/>
  </r>
  <r>
    <x v="17"/>
    <x v="5"/>
    <x v="9"/>
    <x v="1"/>
    <x v="4"/>
    <x v="0"/>
    <x v="5"/>
    <x v="1"/>
    <x v="10"/>
    <x v="3"/>
    <x v="17"/>
  </r>
  <r>
    <x v="12"/>
    <x v="0"/>
    <x v="1"/>
    <x v="0"/>
    <x v="0"/>
    <x v="0"/>
    <x v="0"/>
    <x v="6"/>
    <x v="7"/>
    <x v="1"/>
    <x v="18"/>
  </r>
  <r>
    <x v="12"/>
    <x v="3"/>
    <x v="10"/>
    <x v="1"/>
    <x v="5"/>
    <x v="0"/>
    <x v="6"/>
    <x v="1"/>
    <x v="11"/>
    <x v="2"/>
    <x v="19"/>
  </r>
  <r>
    <x v="12"/>
    <x v="0"/>
    <x v="11"/>
    <x v="1"/>
    <x v="0"/>
    <x v="0"/>
    <x v="0"/>
    <x v="3"/>
    <x v="4"/>
    <x v="1"/>
    <x v="20"/>
  </r>
  <r>
    <x v="12"/>
    <x v="6"/>
    <x v="12"/>
    <x v="1"/>
    <x v="2"/>
    <x v="0"/>
    <x v="3"/>
    <x v="1"/>
    <x v="6"/>
    <x v="1"/>
    <x v="21"/>
  </r>
  <r>
    <x v="12"/>
    <x v="7"/>
    <x v="12"/>
    <x v="1"/>
    <x v="3"/>
    <x v="0"/>
    <x v="4"/>
    <x v="1"/>
    <x v="8"/>
    <x v="1"/>
    <x v="22"/>
  </r>
  <r>
    <x v="12"/>
    <x v="7"/>
    <x v="12"/>
    <x v="1"/>
    <x v="0"/>
    <x v="0"/>
    <x v="0"/>
    <x v="10"/>
    <x v="12"/>
    <x v="1"/>
    <x v="22"/>
  </r>
  <r>
    <x v="12"/>
    <x v="0"/>
    <x v="6"/>
    <x v="0"/>
    <x v="0"/>
    <x v="0"/>
    <x v="0"/>
    <x v="2"/>
    <x v="3"/>
    <x v="1"/>
    <x v="7"/>
  </r>
  <r>
    <x v="12"/>
    <x v="8"/>
    <x v="13"/>
    <x v="1"/>
    <x v="5"/>
    <x v="0"/>
    <x v="6"/>
    <x v="11"/>
    <x v="7"/>
    <x v="2"/>
    <x v="23"/>
  </r>
  <r>
    <x v="12"/>
    <x v="6"/>
    <x v="12"/>
    <x v="1"/>
    <x v="2"/>
    <x v="0"/>
    <x v="3"/>
    <x v="1"/>
    <x v="6"/>
    <x v="1"/>
    <x v="21"/>
  </r>
  <r>
    <x v="12"/>
    <x v="9"/>
    <x v="14"/>
    <x v="1"/>
    <x v="6"/>
    <x v="0"/>
    <x v="7"/>
    <x v="1"/>
    <x v="13"/>
    <x v="0"/>
    <x v="24"/>
  </r>
  <r>
    <x v="18"/>
    <x v="9"/>
    <x v="14"/>
    <x v="1"/>
    <x v="6"/>
    <x v="0"/>
    <x v="7"/>
    <x v="1"/>
    <x v="13"/>
    <x v="0"/>
    <x v="24"/>
  </r>
  <r>
    <x v="12"/>
    <x v="10"/>
    <x v="15"/>
    <x v="1"/>
    <x v="0"/>
    <x v="0"/>
    <x v="0"/>
    <x v="12"/>
    <x v="14"/>
    <x v="0"/>
    <x v="25"/>
  </r>
  <r>
    <x v="12"/>
    <x v="0"/>
    <x v="0"/>
    <x v="1"/>
    <x v="0"/>
    <x v="0"/>
    <x v="0"/>
    <x v="2"/>
    <x v="3"/>
    <x v="0"/>
    <x v="1"/>
  </r>
  <r>
    <x v="12"/>
    <x v="0"/>
    <x v="4"/>
    <x v="1"/>
    <x v="0"/>
    <x v="0"/>
    <x v="0"/>
    <x v="2"/>
    <x v="3"/>
    <x v="0"/>
    <x v="9"/>
  </r>
  <r>
    <x v="12"/>
    <x v="2"/>
    <x v="3"/>
    <x v="1"/>
    <x v="0"/>
    <x v="0"/>
    <x v="0"/>
    <x v="2"/>
    <x v="3"/>
    <x v="0"/>
    <x v="14"/>
  </r>
  <r>
    <x v="12"/>
    <x v="0"/>
    <x v="16"/>
    <x v="1"/>
    <x v="0"/>
    <x v="0"/>
    <x v="0"/>
    <x v="13"/>
    <x v="15"/>
    <x v="0"/>
    <x v="26"/>
  </r>
  <r>
    <x v="19"/>
    <x v="0"/>
    <x v="7"/>
    <x v="1"/>
    <x v="0"/>
    <x v="0"/>
    <x v="0"/>
    <x v="14"/>
    <x v="6"/>
    <x v="0"/>
    <x v="8"/>
  </r>
  <r>
    <x v="19"/>
    <x v="0"/>
    <x v="7"/>
    <x v="1"/>
    <x v="0"/>
    <x v="0"/>
    <x v="0"/>
    <x v="2"/>
    <x v="3"/>
    <x v="0"/>
    <x v="8"/>
  </r>
  <r>
    <x v="20"/>
    <x v="0"/>
    <x v="4"/>
    <x v="1"/>
    <x v="0"/>
    <x v="0"/>
    <x v="0"/>
    <x v="2"/>
    <x v="3"/>
    <x v="1"/>
    <x v="9"/>
  </r>
  <r>
    <x v="20"/>
    <x v="0"/>
    <x v="0"/>
    <x v="1"/>
    <x v="0"/>
    <x v="0"/>
    <x v="0"/>
    <x v="1"/>
    <x v="1"/>
    <x v="1"/>
    <x v="1"/>
  </r>
  <r>
    <x v="12"/>
    <x v="0"/>
    <x v="4"/>
    <x v="0"/>
    <x v="0"/>
    <x v="0"/>
    <x v="0"/>
    <x v="9"/>
    <x v="8"/>
    <x v="1"/>
    <x v="5"/>
  </r>
  <r>
    <x v="21"/>
    <x v="0"/>
    <x v="7"/>
    <x v="1"/>
    <x v="0"/>
    <x v="0"/>
    <x v="0"/>
    <x v="2"/>
    <x v="3"/>
    <x v="0"/>
    <x v="8"/>
  </r>
  <r>
    <x v="21"/>
    <x v="0"/>
    <x v="7"/>
    <x v="1"/>
    <x v="0"/>
    <x v="0"/>
    <x v="0"/>
    <x v="2"/>
    <x v="3"/>
    <x v="0"/>
    <x v="8"/>
  </r>
  <r>
    <x v="12"/>
    <x v="0"/>
    <x v="0"/>
    <x v="1"/>
    <x v="0"/>
    <x v="0"/>
    <x v="0"/>
    <x v="13"/>
    <x v="15"/>
    <x v="0"/>
    <x v="1"/>
  </r>
  <r>
    <x v="22"/>
    <x v="2"/>
    <x v="3"/>
    <x v="1"/>
    <x v="0"/>
    <x v="0"/>
    <x v="0"/>
    <x v="14"/>
    <x v="6"/>
    <x v="0"/>
    <x v="14"/>
  </r>
  <r>
    <x v="23"/>
    <x v="0"/>
    <x v="7"/>
    <x v="1"/>
    <x v="0"/>
    <x v="0"/>
    <x v="0"/>
    <x v="2"/>
    <x v="3"/>
    <x v="0"/>
    <x v="8"/>
  </r>
  <r>
    <x v="23"/>
    <x v="9"/>
    <x v="14"/>
    <x v="1"/>
    <x v="6"/>
    <x v="0"/>
    <x v="7"/>
    <x v="1"/>
    <x v="13"/>
    <x v="0"/>
    <x v="24"/>
  </r>
  <r>
    <x v="23"/>
    <x v="9"/>
    <x v="12"/>
    <x v="1"/>
    <x v="5"/>
    <x v="0"/>
    <x v="6"/>
    <x v="1"/>
    <x v="11"/>
    <x v="0"/>
    <x v="27"/>
  </r>
  <r>
    <x v="24"/>
    <x v="0"/>
    <x v="7"/>
    <x v="1"/>
    <x v="0"/>
    <x v="0"/>
    <x v="0"/>
    <x v="2"/>
    <x v="3"/>
    <x v="0"/>
    <x v="8"/>
  </r>
  <r>
    <x v="24"/>
    <x v="0"/>
    <x v="7"/>
    <x v="1"/>
    <x v="0"/>
    <x v="0"/>
    <x v="0"/>
    <x v="2"/>
    <x v="3"/>
    <x v="0"/>
    <x v="8"/>
  </r>
  <r>
    <x v="24"/>
    <x v="0"/>
    <x v="7"/>
    <x v="1"/>
    <x v="0"/>
    <x v="0"/>
    <x v="0"/>
    <x v="2"/>
    <x v="3"/>
    <x v="0"/>
    <x v="8"/>
  </r>
  <r>
    <x v="12"/>
    <x v="9"/>
    <x v="12"/>
    <x v="1"/>
    <x v="5"/>
    <x v="0"/>
    <x v="6"/>
    <x v="11"/>
    <x v="7"/>
    <x v="0"/>
    <x v="27"/>
  </r>
  <r>
    <x v="25"/>
    <x v="0"/>
    <x v="6"/>
    <x v="1"/>
    <x v="0"/>
    <x v="0"/>
    <x v="0"/>
    <x v="1"/>
    <x v="1"/>
    <x v="0"/>
    <x v="10"/>
  </r>
  <r>
    <x v="26"/>
    <x v="0"/>
    <x v="7"/>
    <x v="1"/>
    <x v="0"/>
    <x v="0"/>
    <x v="0"/>
    <x v="2"/>
    <x v="3"/>
    <x v="0"/>
    <x v="8"/>
  </r>
  <r>
    <x v="26"/>
    <x v="0"/>
    <x v="7"/>
    <x v="1"/>
    <x v="0"/>
    <x v="0"/>
    <x v="0"/>
    <x v="2"/>
    <x v="3"/>
    <x v="0"/>
    <x v="8"/>
  </r>
  <r>
    <x v="26"/>
    <x v="0"/>
    <x v="7"/>
    <x v="1"/>
    <x v="0"/>
    <x v="0"/>
    <x v="0"/>
    <x v="2"/>
    <x v="3"/>
    <x v="0"/>
    <x v="8"/>
  </r>
  <r>
    <x v="26"/>
    <x v="0"/>
    <x v="8"/>
    <x v="1"/>
    <x v="0"/>
    <x v="0"/>
    <x v="0"/>
    <x v="15"/>
    <x v="16"/>
    <x v="0"/>
    <x v="12"/>
  </r>
  <r>
    <x v="27"/>
    <x v="2"/>
    <x v="3"/>
    <x v="1"/>
    <x v="0"/>
    <x v="0"/>
    <x v="0"/>
    <x v="2"/>
    <x v="3"/>
    <x v="0"/>
    <x v="1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FCEB8FD-6340-2847-9B3D-B06D9B679139}" name="PaperPivotTable" cacheId="13" applyNumberFormats="0" applyBorderFormats="0" applyFontFormats="0" applyPatternFormats="0" applyAlignmentFormats="0" applyWidthHeightFormats="1" dataCaption="値" updatedVersion="6" minRefreshableVersion="3" showCalcMbrs="0" useAutoFormatting="1" rowGrandTotals="0" colGrandTotals="0" itemPrintTitles="1" mergeItem="1" createdVersion="3" indent="0" outline="1" outlineData="1" multipleFieldFilters="0" rowHeaderCaption="Specs" colHeaderCaption="Width">
  <location ref="B2:W15" firstHeaderRow="1" firstDataRow="3" firstDataCol="1"/>
  <pivotFields count="11">
    <pivotField showAll="0" defaultSubtotal="0">
      <items count="28">
        <item x="8"/>
        <item x="15"/>
        <item x="5"/>
        <item x="18"/>
        <item x="17"/>
        <item x="7"/>
        <item x="27"/>
        <item x="16"/>
        <item x="6"/>
        <item x="9"/>
        <item x="4"/>
        <item x="3"/>
        <item x="10"/>
        <item x="2"/>
        <item x="0"/>
        <item x="11"/>
        <item x="1"/>
        <item x="19"/>
        <item x="20"/>
        <item x="21"/>
        <item x="22"/>
        <item x="23"/>
        <item x="24"/>
        <item x="13"/>
        <item x="14"/>
        <item x="26"/>
        <item x="25"/>
        <item x="12"/>
      </items>
    </pivotField>
    <pivotField axis="axisRow" showAll="0" defaultSubtotal="0">
      <items count="11">
        <item x="5"/>
        <item x="1"/>
        <item x="7"/>
        <item x="10"/>
        <item x="4"/>
        <item x="6"/>
        <item x="8"/>
        <item x="2"/>
        <item x="3"/>
        <item x="0"/>
        <item x="9"/>
      </items>
    </pivotField>
    <pivotField axis="axisCol" showAll="0" defaultSubtotal="0">
      <items count="17">
        <item x="14"/>
        <item x="3"/>
        <item x="12"/>
        <item x="16"/>
        <item x="10"/>
        <item x="6"/>
        <item x="5"/>
        <item x="9"/>
        <item x="8"/>
        <item x="2"/>
        <item x="4"/>
        <item x="15"/>
        <item x="7"/>
        <item x="13"/>
        <item x="0"/>
        <item x="1"/>
        <item x="11"/>
      </items>
    </pivotField>
    <pivotField axis="axisCol" showAll="0" defaultSubtotal="0">
      <items count="2">
        <item x="0"/>
        <item n=" " x="1"/>
      </items>
    </pivotField>
    <pivotField showAll="0" defaultSubtotal="0">
      <items count="7">
        <item x="4"/>
        <item x="6"/>
        <item x="3"/>
        <item x="2"/>
        <item x="1"/>
        <item x="5"/>
        <item x="0"/>
      </items>
    </pivotField>
    <pivotField showAll="0" defaultSubtotal="0">
      <items count="2">
        <item x="0"/>
        <item x="1"/>
      </items>
    </pivotField>
    <pivotField showAll="0" defaultSubtotal="0">
      <items count="8">
        <item x="5"/>
        <item x="7"/>
        <item x="4"/>
        <item x="3"/>
        <item x="2"/>
        <item x="6"/>
        <item x="0"/>
        <item x="1"/>
      </items>
    </pivotField>
    <pivotField showAll="0" defaultSubtotal="0">
      <items count="16">
        <item x="5"/>
        <item x="4"/>
        <item x="7"/>
        <item x="11"/>
        <item x="14"/>
        <item x="0"/>
        <item x="8"/>
        <item x="9"/>
        <item x="13"/>
        <item x="15"/>
        <item x="3"/>
        <item x="6"/>
        <item x="10"/>
        <item x="12"/>
        <item x="2"/>
        <item x="1"/>
      </items>
    </pivotField>
    <pivotField dataField="1" showAll="0" defaultSubtotal="0">
      <items count="17">
        <item x="3"/>
        <item x="14"/>
        <item x="12"/>
        <item x="7"/>
        <item x="4"/>
        <item x="16"/>
        <item x="15"/>
        <item x="10"/>
        <item x="13"/>
        <item x="8"/>
        <item x="9"/>
        <item x="0"/>
        <item x="6"/>
        <item x="5"/>
        <item x="11"/>
        <item x="1"/>
        <item x="2"/>
      </items>
    </pivotField>
    <pivotField showAll="0" defaultSubtotal="0">
      <items count="4">
        <item x="1"/>
        <item x="3"/>
        <item x="2"/>
        <item x="0"/>
      </items>
    </pivotField>
    <pivotField showAll="0" defaultSubtotal="0">
      <items count="28">
        <item x="17"/>
        <item x="22"/>
        <item x="25"/>
        <item x="11"/>
        <item x="3"/>
        <item x="15"/>
        <item x="16"/>
        <item x="21"/>
        <item x="23"/>
        <item x="6"/>
        <item x="14"/>
        <item x="19"/>
        <item x="13"/>
        <item x="26"/>
        <item x="10"/>
        <item x="7"/>
        <item x="12"/>
        <item x="9"/>
        <item x="5"/>
        <item x="8"/>
        <item x="1"/>
        <item x="0"/>
        <item x="2"/>
        <item x="18"/>
        <item x="20"/>
        <item x="4"/>
        <item x="27"/>
        <item x="24"/>
      </items>
    </pivotField>
  </pivotFields>
  <rowFields count="1">
    <field x="1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</rowItems>
  <colFields count="2">
    <field x="2"/>
    <field x="3"/>
  </colFields>
  <colItems count="21">
    <i>
      <x/>
      <x v="1"/>
    </i>
    <i>
      <x v="1"/>
      <x v="1"/>
    </i>
    <i>
      <x v="2"/>
      <x v="1"/>
    </i>
    <i>
      <x v="3"/>
      <x v="1"/>
    </i>
    <i>
      <x v="4"/>
      <x v="1"/>
    </i>
    <i>
      <x v="5"/>
      <x/>
    </i>
    <i r="1">
      <x v="1"/>
    </i>
    <i>
      <x v="6"/>
      <x v="1"/>
    </i>
    <i>
      <x v="7"/>
      <x v="1"/>
    </i>
    <i>
      <x v="8"/>
      <x v="1"/>
    </i>
    <i>
      <x v="9"/>
      <x v="1"/>
    </i>
    <i>
      <x v="10"/>
      <x/>
    </i>
    <i r="1">
      <x v="1"/>
    </i>
    <i>
      <x v="11"/>
      <x v="1"/>
    </i>
    <i>
      <x v="12"/>
      <x v="1"/>
    </i>
    <i>
      <x v="13"/>
      <x v="1"/>
    </i>
    <i>
      <x v="14"/>
      <x/>
    </i>
    <i r="1">
      <x v="1"/>
    </i>
    <i>
      <x v="15"/>
      <x/>
    </i>
    <i r="1">
      <x v="1"/>
    </i>
    <i>
      <x v="16"/>
      <x v="1"/>
    </i>
  </colItems>
  <dataFields count="1">
    <dataField name="Paper Summary" fld="8" baseField="0" baseItem="0"/>
  </dataFields>
  <formats count="6">
    <format dxfId="5">
      <pivotArea type="all" dataOnly="0" outline="0" fieldPosition="0"/>
    </format>
    <format dxfId="4">
      <pivotArea type="all" dataOnly="0" outline="0" fieldPosition="0"/>
    </format>
    <format dxfId="3">
      <pivotArea type="all" dataOnly="0" outline="0" fieldPosition="0"/>
    </format>
    <format dxfId="2">
      <pivotArea type="all" dataOnly="0" outline="0" fieldPosition="0"/>
    </format>
    <format dxfId="1">
      <pivotArea type="all" dataOnly="0" outline="0" fieldPosition="0"/>
    </format>
    <format dxfId="0">
      <pivotArea type="all" dataOnly="0" outline="0" fieldPosition="0"/>
    </format>
  </formats>
  <pivotTableStyleInfo name="PivotStyleLight16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5:K86" headerRowDxfId="39" dataDxfId="38" totalsRowDxfId="37">
  <autoFilter ref="A5:K86" xr:uid="{00000000-0009-0000-0100-000002000000}">
    <filterColumn colId="10">
      <customFilters>
        <customFilter val="**"/>
      </customFilters>
    </filterColumn>
  </autoFilter>
  <tableColumns count="11">
    <tableColumn id="1" xr3:uid="{00000000-0010-0000-0000-000001000000}" name="Arrival" totalsRowLabel="Total" dataDxfId="36" totalsRowDxfId="35"/>
    <tableColumn id="2" xr3:uid="{00000000-0010-0000-0000-000002000000}" name="Specs" dataDxfId="34" totalsRowDxfId="33"/>
    <tableColumn id="3" xr3:uid="{00000000-0010-0000-0000-000003000000}" name="Width" dataDxfId="32" totalsRowDxfId="31"/>
    <tableColumn id="9" xr3:uid="{00000000-0010-0000-0000-000009000000}" name="Slitting" dataDxfId="30" totalsRowDxfId="29"/>
    <tableColumn id="4" xr3:uid="{00000000-0010-0000-0000-000004000000}" name="Length" dataDxfId="28" totalsRowDxfId="27"/>
    <tableColumn id="5" xr3:uid="{00000000-0010-0000-0000-000005000000}" name="Roll" dataDxfId="26" totalsRowDxfId="25"/>
    <tableColumn id="6" xr3:uid="{00000000-0010-0000-0000-000006000000}" name="Total" dataDxfId="24" totalsRowDxfId="23">
      <calculatedColumnFormula>F6*E6</calculatedColumnFormula>
    </tableColumn>
    <tableColumn id="7" xr3:uid="{00000000-0010-0000-0000-000007000000}" name="Used" dataDxfId="22" totalsRowDxfId="21"/>
    <tableColumn id="8" xr3:uid="{00000000-0010-0000-0000-000008000000}" name="Remaining" dataDxfId="20" totalsRowDxfId="19">
      <calculatedColumnFormula>G6-H6</calculatedColumnFormula>
    </tableColumn>
    <tableColumn id="10" xr3:uid="{00000000-0010-0000-0000-00000A000000}" name="Lining" dataDxfId="18" totalsRowDxfId="17"/>
    <tableColumn id="11" xr3:uid="{00000000-0010-0000-0000-00000B000000}" name="Index" totalsRowFunction="count" dataDxfId="16">
      <calculatedColumnFormula>CONCATENATE(Table2[[#This Row],[Specs]],Table2[[#This Row],[Width]],Table2[[#This Row],[Slitting]])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5:H239" totalsRowShown="0" headerRowDxfId="15" dataDxfId="14">
  <autoFilter ref="A5:H239" xr:uid="{00000000-0009-0000-0100-000001000000}">
    <filterColumn colId="7">
      <customFilters>
        <customFilter val="**"/>
      </customFilters>
    </filterColumn>
  </autoFilter>
  <tableColumns count="8">
    <tableColumn id="1" xr3:uid="{00000000-0010-0000-0100-000001000000}" name="First Order" dataDxfId="13"/>
    <tableColumn id="2" xr3:uid="{00000000-0010-0000-0100-000002000000}" name="LINE" dataDxfId="12"/>
    <tableColumn id="3" xr3:uid="{00000000-0010-0000-0100-000003000000}" name="Order Code" dataDxfId="11"/>
    <tableColumn id="4" xr3:uid="{00000000-0010-0000-0100-000004000000}" name="NAME" dataDxfId="10"/>
    <tableColumn id="7" xr3:uid="{00000000-0010-0000-0100-000007000000}" name="REMAINING" dataDxfId="9"/>
    <tableColumn id="6" xr3:uid="{00000000-0010-0000-0100-000006000000}" name="IMPORT DATE" dataDxfId="8"/>
    <tableColumn id="8" xr3:uid="{00000000-0010-0000-0100-000008000000}" name="COLOR STD" dataDxfId="7"/>
    <tableColumn id="9" xr3:uid="{00000000-0010-0000-0100-000009000000}" name="Index" dataDxfId="6">
      <calculatedColumnFormula>CONCATENATE(Table1[[#This Row],[Order Code]],Table1[[#This Row],[NAME]])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C76848-E7DE-3C4B-830C-8FF73F8CA22A}">
  <dimension ref="B1:W15"/>
  <sheetViews>
    <sheetView tabSelected="1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5" sqref="C5"/>
    </sheetView>
  </sheetViews>
  <sheetFormatPr baseColWidth="10" defaultRowHeight="22"/>
  <cols>
    <col min="1" max="1" width="0.8984375" customWidth="1"/>
    <col min="2" max="2" width="24.19921875" bestFit="1" customWidth="1"/>
    <col min="3" max="3" width="9.3984375" bestFit="1" customWidth="1"/>
    <col min="4" max="4" width="5.3984375" bestFit="1" customWidth="1"/>
    <col min="5" max="7" width="6.09765625" bestFit="1" customWidth="1"/>
    <col min="8" max="8" width="8.09765625" bestFit="1" customWidth="1"/>
    <col min="9" max="9" width="4.3984375" bestFit="1" customWidth="1"/>
    <col min="10" max="13" width="6.09765625" bestFit="1" customWidth="1"/>
    <col min="14" max="14" width="8.09765625" bestFit="1" customWidth="1"/>
    <col min="15" max="15" width="2.3984375" bestFit="1" customWidth="1"/>
    <col min="16" max="18" width="6.09765625" bestFit="1" customWidth="1"/>
    <col min="19" max="19" width="8.09765625" bestFit="1" customWidth="1"/>
    <col min="20" max="20" width="5.3984375" bestFit="1" customWidth="1"/>
    <col min="21" max="21" width="8.09765625" bestFit="1" customWidth="1"/>
    <col min="22" max="22" width="5.3984375" bestFit="1" customWidth="1"/>
    <col min="23" max="23" width="6.09765625" bestFit="1" customWidth="1"/>
    <col min="24" max="24" width="8.09765625" bestFit="1" customWidth="1"/>
    <col min="25" max="25" width="2.3984375" bestFit="1" customWidth="1"/>
    <col min="26" max="26" width="8.3984375" bestFit="1" customWidth="1"/>
    <col min="27" max="27" width="6.09765625" bestFit="1" customWidth="1"/>
    <col min="28" max="28" width="8.3984375" bestFit="1" customWidth="1"/>
    <col min="29" max="29" width="6.09765625" bestFit="1" customWidth="1"/>
    <col min="30" max="30" width="8.3984375" bestFit="1" customWidth="1"/>
    <col min="31" max="31" width="6.09765625" bestFit="1" customWidth="1"/>
    <col min="32" max="32" width="8.3984375" bestFit="1" customWidth="1"/>
    <col min="33" max="33" width="8.09765625" bestFit="1" customWidth="1"/>
    <col min="34" max="34" width="5.3984375" bestFit="1" customWidth="1"/>
    <col min="35" max="35" width="8.3984375" bestFit="1" customWidth="1"/>
    <col min="36" max="36" width="8.09765625" bestFit="1" customWidth="1"/>
    <col min="37" max="37" width="5.3984375" bestFit="1" customWidth="1"/>
    <col min="38" max="38" width="8.3984375" bestFit="1" customWidth="1"/>
    <col min="39" max="39" width="6.09765625" bestFit="1" customWidth="1"/>
    <col min="40" max="40" width="8.3984375" bestFit="1" customWidth="1"/>
    <col min="41" max="41" width="6.3984375" bestFit="1" customWidth="1"/>
  </cols>
  <sheetData>
    <row r="1" spans="2:23" ht="7.5" customHeight="1"/>
    <row r="2" spans="2:23">
      <c r="B2" s="7" t="s">
        <v>202</v>
      </c>
      <c r="C2" s="7" t="s">
        <v>198</v>
      </c>
      <c r="D2" s="52"/>
      <c r="E2" s="52"/>
      <c r="F2" s="52"/>
      <c r="G2" s="52"/>
      <c r="H2" s="52"/>
      <c r="I2" s="52"/>
      <c r="J2" s="52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52"/>
      <c r="W2" s="52"/>
    </row>
    <row r="3" spans="2:23">
      <c r="B3" s="52"/>
      <c r="C3" s="51">
        <v>40</v>
      </c>
      <c r="D3" s="51">
        <v>90</v>
      </c>
      <c r="E3" s="51">
        <v>100</v>
      </c>
      <c r="F3" s="51">
        <v>115</v>
      </c>
      <c r="G3" s="51">
        <v>120</v>
      </c>
      <c r="H3" s="55">
        <v>125</v>
      </c>
      <c r="I3" s="56"/>
      <c r="J3" s="51">
        <v>130</v>
      </c>
      <c r="K3" s="51">
        <v>135</v>
      </c>
      <c r="L3" s="51">
        <v>140</v>
      </c>
      <c r="M3" s="51">
        <v>150</v>
      </c>
      <c r="N3" s="55">
        <v>155</v>
      </c>
      <c r="O3" s="56"/>
      <c r="P3" s="51">
        <v>160</v>
      </c>
      <c r="Q3" s="51">
        <v>165</v>
      </c>
      <c r="R3" s="51">
        <v>175</v>
      </c>
      <c r="S3" s="55">
        <v>185</v>
      </c>
      <c r="T3" s="56"/>
      <c r="U3" s="55">
        <v>205</v>
      </c>
      <c r="V3" s="56"/>
      <c r="W3" s="51">
        <v>215</v>
      </c>
    </row>
    <row r="4" spans="2:23">
      <c r="B4" s="7" t="s">
        <v>0</v>
      </c>
      <c r="C4" s="51" t="s">
        <v>258</v>
      </c>
      <c r="D4" s="51" t="s">
        <v>258</v>
      </c>
      <c r="E4" s="51" t="s">
        <v>258</v>
      </c>
      <c r="F4" s="51" t="s">
        <v>258</v>
      </c>
      <c r="G4" s="51" t="s">
        <v>258</v>
      </c>
      <c r="H4" s="51" t="s">
        <v>268</v>
      </c>
      <c r="I4" s="51" t="s">
        <v>258</v>
      </c>
      <c r="J4" s="51" t="s">
        <v>258</v>
      </c>
      <c r="K4" s="51" t="s">
        <v>258</v>
      </c>
      <c r="L4" s="51" t="s">
        <v>258</v>
      </c>
      <c r="M4" s="51" t="s">
        <v>258</v>
      </c>
      <c r="N4" s="51" t="s">
        <v>268</v>
      </c>
      <c r="O4" s="51" t="s">
        <v>258</v>
      </c>
      <c r="P4" s="51" t="s">
        <v>258</v>
      </c>
      <c r="Q4" s="51" t="s">
        <v>258</v>
      </c>
      <c r="R4" s="51" t="s">
        <v>258</v>
      </c>
      <c r="S4" s="51" t="s">
        <v>268</v>
      </c>
      <c r="T4" s="51" t="s">
        <v>258</v>
      </c>
      <c r="U4" s="51" t="s">
        <v>268</v>
      </c>
      <c r="V4" s="51" t="s">
        <v>258</v>
      </c>
      <c r="W4" s="51" t="s">
        <v>258</v>
      </c>
    </row>
    <row r="5" spans="2:23">
      <c r="B5" s="5" t="s">
        <v>229</v>
      </c>
      <c r="C5" s="6"/>
      <c r="D5" s="6"/>
      <c r="E5" s="6"/>
      <c r="F5" s="6"/>
      <c r="G5" s="6"/>
      <c r="H5" s="6"/>
      <c r="I5" s="6"/>
      <c r="J5" s="6"/>
      <c r="K5" s="6">
        <v>60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</row>
    <row r="6" spans="2:23">
      <c r="B6" s="5" t="s">
        <v>259</v>
      </c>
      <c r="C6" s="6"/>
      <c r="D6" s="6">
        <v>540</v>
      </c>
      <c r="E6" s="6"/>
      <c r="F6" s="6"/>
      <c r="G6" s="6"/>
      <c r="H6" s="6">
        <v>600</v>
      </c>
      <c r="I6" s="6"/>
      <c r="J6" s="6"/>
      <c r="K6" s="6"/>
      <c r="L6" s="6"/>
      <c r="M6" s="6">
        <v>1200</v>
      </c>
      <c r="N6" s="6"/>
      <c r="O6" s="6"/>
      <c r="P6" s="6"/>
      <c r="Q6" s="6"/>
      <c r="R6" s="6"/>
      <c r="S6" s="6"/>
      <c r="T6" s="6"/>
      <c r="U6" s="6"/>
      <c r="V6" s="6"/>
      <c r="W6" s="6"/>
    </row>
    <row r="7" spans="2:23">
      <c r="B7" s="5" t="s">
        <v>261</v>
      </c>
      <c r="C7" s="6"/>
      <c r="D7" s="6"/>
      <c r="E7" s="6">
        <v>115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</row>
    <row r="8" spans="2:23">
      <c r="B8" s="5" t="s">
        <v>262</v>
      </c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>
        <v>10</v>
      </c>
      <c r="Q8" s="6"/>
      <c r="R8" s="6"/>
      <c r="S8" s="6"/>
      <c r="T8" s="6"/>
      <c r="U8" s="6"/>
      <c r="V8" s="6"/>
      <c r="W8" s="6"/>
    </row>
    <row r="9" spans="2:23">
      <c r="B9" s="5" t="s">
        <v>260</v>
      </c>
      <c r="C9" s="6"/>
      <c r="D9" s="6">
        <v>100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</row>
    <row r="10" spans="2:23">
      <c r="B10" s="5" t="s">
        <v>231</v>
      </c>
      <c r="C10" s="6"/>
      <c r="D10" s="6"/>
      <c r="E10" s="6">
        <v>400</v>
      </c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</row>
    <row r="11" spans="2:23">
      <c r="B11" s="5" t="s">
        <v>232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>
        <v>20</v>
      </c>
      <c r="S11" s="6"/>
      <c r="T11" s="6"/>
      <c r="U11" s="6"/>
      <c r="V11" s="6"/>
      <c r="W11" s="6"/>
    </row>
    <row r="12" spans="2:23">
      <c r="B12" s="5" t="s">
        <v>12</v>
      </c>
      <c r="C12" s="6"/>
      <c r="D12" s="6">
        <v>200</v>
      </c>
      <c r="E12" s="6"/>
      <c r="F12" s="6"/>
      <c r="G12" s="6"/>
      <c r="H12" s="6"/>
      <c r="I12" s="6"/>
      <c r="J12" s="6">
        <v>1230</v>
      </c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</row>
    <row r="13" spans="2:23">
      <c r="B13" s="5" t="s">
        <v>210</v>
      </c>
      <c r="C13" s="6"/>
      <c r="D13" s="6">
        <v>950</v>
      </c>
      <c r="E13" s="6"/>
      <c r="F13" s="6"/>
      <c r="G13" s="6">
        <v>400</v>
      </c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</row>
    <row r="14" spans="2:23">
      <c r="B14" s="5" t="s">
        <v>254</v>
      </c>
      <c r="C14" s="6"/>
      <c r="D14" s="6">
        <v>1640</v>
      </c>
      <c r="E14" s="6"/>
      <c r="F14" s="6">
        <v>50</v>
      </c>
      <c r="G14" s="6"/>
      <c r="H14" s="6">
        <v>1800</v>
      </c>
      <c r="I14" s="6">
        <v>630</v>
      </c>
      <c r="J14" s="6"/>
      <c r="K14" s="6"/>
      <c r="L14" s="6">
        <v>40</v>
      </c>
      <c r="M14" s="6"/>
      <c r="N14" s="6">
        <v>700</v>
      </c>
      <c r="O14" s="6">
        <v>0</v>
      </c>
      <c r="P14" s="6"/>
      <c r="Q14" s="6">
        <v>800</v>
      </c>
      <c r="R14" s="6"/>
      <c r="S14" s="6">
        <v>730</v>
      </c>
      <c r="T14" s="6">
        <v>1850</v>
      </c>
      <c r="U14" s="6">
        <v>20</v>
      </c>
      <c r="V14" s="6">
        <v>1200</v>
      </c>
      <c r="W14" s="6">
        <v>30</v>
      </c>
    </row>
    <row r="15" spans="2:23">
      <c r="B15" s="5" t="s">
        <v>230</v>
      </c>
      <c r="C15" s="6">
        <v>240</v>
      </c>
      <c r="D15" s="6"/>
      <c r="E15" s="6">
        <v>420</v>
      </c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</row>
  </sheetData>
  <mergeCells count="4">
    <mergeCell ref="H3:I3"/>
    <mergeCell ref="N3:O3"/>
    <mergeCell ref="S3:T3"/>
    <mergeCell ref="U3:V3"/>
  </mergeCells>
  <phoneticPr fontId="19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S86"/>
  <sheetViews>
    <sheetView zoomScaleNormal="100" workbookViewId="0">
      <pane ySplit="5" topLeftCell="A6" activePane="bottomLeft" state="frozen"/>
      <selection pane="bottomLeft" activeCell="I4" sqref="I4"/>
    </sheetView>
  </sheetViews>
  <sheetFormatPr baseColWidth="10" defaultColWidth="9.19921875" defaultRowHeight="20"/>
  <cols>
    <col min="1" max="1" width="8.69921875" style="8" bestFit="1" customWidth="1"/>
    <col min="2" max="2" width="20.8984375" style="9" bestFit="1" customWidth="1"/>
    <col min="3" max="3" width="5.8984375" style="9" bestFit="1" customWidth="1"/>
    <col min="4" max="5" width="6.296875" style="9" bestFit="1" customWidth="1"/>
    <col min="6" max="6" width="4.3984375" style="9" bestFit="1" customWidth="1"/>
    <col min="7" max="7" width="5.19921875" style="9" bestFit="1" customWidth="1"/>
    <col min="8" max="8" width="5.3984375" style="9" bestFit="1" customWidth="1"/>
    <col min="9" max="9" width="8.3984375" style="9" bestFit="1" customWidth="1"/>
    <col min="10" max="10" width="5.69921875" style="9" bestFit="1" customWidth="1"/>
    <col min="11" max="11" width="21.8984375" style="9" hidden="1" customWidth="1"/>
    <col min="12" max="12" width="7.5" style="9" customWidth="1"/>
    <col min="13" max="13" width="4.69921875" style="9" bestFit="1" customWidth="1"/>
    <col min="14" max="14" width="17.59765625" style="9" bestFit="1" customWidth="1"/>
    <col min="15" max="15" width="20.3984375" style="9" bestFit="1" customWidth="1"/>
    <col min="16" max="16" width="10.3984375" style="9" customWidth="1"/>
    <col min="17" max="17" width="13.796875" style="9" bestFit="1" customWidth="1"/>
    <col min="18" max="31" width="10.3984375" style="9" customWidth="1"/>
    <col min="32" max="16384" width="9.19921875" style="9"/>
  </cols>
  <sheetData>
    <row r="1" spans="1:19" ht="5" customHeight="1" thickBot="1">
      <c r="M1" s="30"/>
      <c r="N1" s="30"/>
      <c r="O1" s="30"/>
      <c r="P1" s="30"/>
    </row>
    <row r="2" spans="1:19" ht="22">
      <c r="A2" s="10"/>
      <c r="B2" s="46" t="s">
        <v>255</v>
      </c>
      <c r="I2" s="59" t="s">
        <v>236</v>
      </c>
      <c r="J2" s="60"/>
      <c r="M2" s="30"/>
      <c r="N2" s="30"/>
      <c r="O2" s="30"/>
      <c r="P2" s="30"/>
    </row>
    <row r="3" spans="1:19" ht="23" thickBot="1">
      <c r="I3" s="57">
        <f>LastSavedTimeStamp()</f>
        <v>44103.581712962965</v>
      </c>
      <c r="J3" s="58"/>
      <c r="M3" s="30"/>
      <c r="N3" s="30"/>
      <c r="O3" s="30"/>
      <c r="P3" s="30"/>
    </row>
    <row r="4" spans="1:19" ht="8" customHeight="1">
      <c r="B4" s="12"/>
      <c r="M4" s="30"/>
      <c r="N4" s="30"/>
      <c r="O4" s="30"/>
      <c r="P4" s="30"/>
    </row>
    <row r="5" spans="1:19" ht="22">
      <c r="A5" s="8" t="s">
        <v>252</v>
      </c>
      <c r="B5" s="11" t="s">
        <v>0</v>
      </c>
      <c r="C5" s="13" t="s">
        <v>198</v>
      </c>
      <c r="D5" s="13" t="s">
        <v>257</v>
      </c>
      <c r="E5" s="13" t="s">
        <v>199</v>
      </c>
      <c r="F5" s="13" t="s">
        <v>200</v>
      </c>
      <c r="G5" s="13" t="s">
        <v>201</v>
      </c>
      <c r="H5" s="11" t="s">
        <v>1</v>
      </c>
      <c r="I5" s="13" t="s">
        <v>2</v>
      </c>
      <c r="J5" s="14" t="s">
        <v>253</v>
      </c>
      <c r="K5" s="14" t="s">
        <v>203</v>
      </c>
      <c r="M5" s="30"/>
      <c r="N5" s="30"/>
      <c r="O5" s="30"/>
      <c r="P5" s="30"/>
      <c r="Q5" s="11"/>
      <c r="R5" s="11"/>
      <c r="S5" s="11"/>
    </row>
    <row r="6" spans="1:19" ht="22">
      <c r="A6" s="15" t="s">
        <v>3</v>
      </c>
      <c r="B6" s="16" t="s">
        <v>254</v>
      </c>
      <c r="C6" s="17">
        <v>185</v>
      </c>
      <c r="D6" s="18" t="s">
        <v>268</v>
      </c>
      <c r="E6" s="17">
        <v>600</v>
      </c>
      <c r="F6" s="17">
        <v>1</v>
      </c>
      <c r="G6" s="17">
        <f t="shared" ref="G6:G29" si="0">F6*E6</f>
        <v>600</v>
      </c>
      <c r="H6" s="17">
        <f>45+118+120+87+100</f>
        <v>470</v>
      </c>
      <c r="I6" s="17">
        <f t="shared" ref="I6:I65" si="1">G6-H6</f>
        <v>130</v>
      </c>
      <c r="J6" s="18"/>
      <c r="K6" s="9" t="str">
        <f>CONCATENATE(Table2[[#This Row],[Specs]],Table2[[#This Row],[Width]],Table2[[#This Row],[Slitting]])</f>
        <v>y ユポ80 MDN 8GB185i 一本刃</v>
      </c>
      <c r="M6" s="30"/>
      <c r="N6" s="30"/>
      <c r="O6" s="30"/>
      <c r="P6" s="30"/>
    </row>
    <row r="7" spans="1:19" ht="22">
      <c r="A7" s="15" t="s">
        <v>4</v>
      </c>
      <c r="B7" s="18" t="s">
        <v>254</v>
      </c>
      <c r="C7" s="17">
        <v>185</v>
      </c>
      <c r="D7" s="18"/>
      <c r="E7" s="17">
        <v>600</v>
      </c>
      <c r="F7" s="17">
        <v>1</v>
      </c>
      <c r="G7" s="17">
        <f t="shared" si="0"/>
        <v>600</v>
      </c>
      <c r="H7" s="18"/>
      <c r="I7" s="17">
        <f t="shared" si="1"/>
        <v>600</v>
      </c>
      <c r="J7" s="18"/>
      <c r="K7" s="9" t="str">
        <f>CONCATENATE(Table2[[#This Row],[Specs]],Table2[[#This Row],[Width]],Table2[[#This Row],[Slitting]])</f>
        <v>y ユポ80 MDN 8GB185</v>
      </c>
      <c r="M7" s="30"/>
      <c r="N7" s="30"/>
      <c r="O7" s="30"/>
      <c r="P7" s="30"/>
    </row>
    <row r="8" spans="1:19" ht="22">
      <c r="A8" s="15" t="s">
        <v>5</v>
      </c>
      <c r="B8" s="18" t="s">
        <v>254</v>
      </c>
      <c r="C8" s="17">
        <v>205</v>
      </c>
      <c r="D8" s="18"/>
      <c r="E8" s="17">
        <v>600</v>
      </c>
      <c r="F8" s="17">
        <v>1</v>
      </c>
      <c r="G8" s="17">
        <f t="shared" si="0"/>
        <v>600</v>
      </c>
      <c r="H8" s="18"/>
      <c r="I8" s="17">
        <f t="shared" si="1"/>
        <v>600</v>
      </c>
      <c r="J8" s="18"/>
      <c r="K8" s="9" t="str">
        <f>CONCATENATE(Table2[[#This Row],[Specs]],Table2[[#This Row],[Width]],Table2[[#This Row],[Slitting]])</f>
        <v>y ユポ80 MDN 8GB205</v>
      </c>
      <c r="M8" s="30"/>
      <c r="N8" s="30"/>
      <c r="O8" s="30"/>
      <c r="P8" s="30"/>
    </row>
    <row r="9" spans="1:19" ht="22">
      <c r="A9" s="15" t="s">
        <v>6</v>
      </c>
      <c r="B9" s="18" t="s">
        <v>254</v>
      </c>
      <c r="C9" s="17">
        <v>185</v>
      </c>
      <c r="D9" s="18" t="s">
        <v>268</v>
      </c>
      <c r="E9" s="17">
        <v>600</v>
      </c>
      <c r="F9" s="17">
        <v>1</v>
      </c>
      <c r="G9" s="17">
        <f t="shared" si="0"/>
        <v>600</v>
      </c>
      <c r="H9" s="18"/>
      <c r="I9" s="17">
        <f t="shared" si="1"/>
        <v>600</v>
      </c>
      <c r="J9" s="18"/>
      <c r="K9" s="9" t="str">
        <f>CONCATENATE(Table2[[#This Row],[Specs]],Table2[[#This Row],[Width]],Table2[[#This Row],[Slitting]])</f>
        <v>y ユポ80 MDN 8GB185i 一本刃</v>
      </c>
      <c r="M9" s="30"/>
      <c r="N9" s="30"/>
      <c r="O9" s="30"/>
      <c r="P9" s="30"/>
    </row>
    <row r="10" spans="1:19" ht="22">
      <c r="A10" s="15" t="s">
        <v>7</v>
      </c>
      <c r="B10" s="18" t="s">
        <v>259</v>
      </c>
      <c r="C10" s="17">
        <v>150</v>
      </c>
      <c r="D10" s="18"/>
      <c r="E10" s="17">
        <v>600</v>
      </c>
      <c r="F10" s="17">
        <v>1</v>
      </c>
      <c r="G10" s="17">
        <f t="shared" si="0"/>
        <v>600</v>
      </c>
      <c r="H10" s="18"/>
      <c r="I10" s="17">
        <f t="shared" si="1"/>
        <v>600</v>
      </c>
      <c r="J10" s="18"/>
      <c r="K10" s="9" t="str">
        <f>CONCATENATE(Table2[[#This Row],[Specs]],Table2[[#This Row],[Width]],Table2[[#This Row],[Slitting]])</f>
        <v>j 上質150</v>
      </c>
      <c r="M10" s="30"/>
      <c r="N10" s="30"/>
      <c r="O10" s="30"/>
      <c r="P10" s="30"/>
    </row>
    <row r="11" spans="1:19" ht="22">
      <c r="A11" s="15" t="s">
        <v>8</v>
      </c>
      <c r="B11" s="18" t="s">
        <v>254</v>
      </c>
      <c r="C11" s="17">
        <v>90</v>
      </c>
      <c r="D11" s="18"/>
      <c r="E11" s="17">
        <v>600</v>
      </c>
      <c r="F11" s="17">
        <v>1</v>
      </c>
      <c r="G11" s="17">
        <f t="shared" si="0"/>
        <v>600</v>
      </c>
      <c r="H11" s="18"/>
      <c r="I11" s="17">
        <f t="shared" si="1"/>
        <v>600</v>
      </c>
      <c r="J11" s="18"/>
      <c r="K11" s="9" t="str">
        <f>CONCATENATE(Table2[[#This Row],[Specs]],Table2[[#This Row],[Width]],Table2[[#This Row],[Slitting]])</f>
        <v>y ユポ80 MDN 8GB90</v>
      </c>
      <c r="M11" s="30"/>
      <c r="N11" s="30"/>
      <c r="O11" s="30"/>
      <c r="P11" s="30"/>
    </row>
    <row r="12" spans="1:19">
      <c r="A12" s="15" t="s">
        <v>9</v>
      </c>
      <c r="B12" s="18" t="s">
        <v>254</v>
      </c>
      <c r="C12" s="17">
        <v>155</v>
      </c>
      <c r="D12" s="18" t="s">
        <v>268</v>
      </c>
      <c r="E12" s="17">
        <v>600</v>
      </c>
      <c r="F12" s="17">
        <v>1</v>
      </c>
      <c r="G12" s="17">
        <f t="shared" si="0"/>
        <v>600</v>
      </c>
      <c r="H12" s="18"/>
      <c r="I12" s="17">
        <f t="shared" si="1"/>
        <v>600</v>
      </c>
      <c r="J12" s="18"/>
      <c r="K12" s="9" t="str">
        <f>CONCATENATE(Table2[[#This Row],[Specs]],Table2[[#This Row],[Width]],Table2[[#This Row],[Slitting]])</f>
        <v>y ユポ80 MDN 8GB155i 一本刃</v>
      </c>
    </row>
    <row r="13" spans="1:19">
      <c r="A13" s="15" t="s">
        <v>10</v>
      </c>
      <c r="B13" s="18" t="s">
        <v>254</v>
      </c>
      <c r="C13" s="17">
        <v>185</v>
      </c>
      <c r="D13" s="18"/>
      <c r="E13" s="17">
        <v>600</v>
      </c>
      <c r="F13" s="17">
        <v>1</v>
      </c>
      <c r="G13" s="17">
        <f t="shared" si="0"/>
        <v>600</v>
      </c>
      <c r="H13" s="18"/>
      <c r="I13" s="17">
        <f t="shared" si="1"/>
        <v>600</v>
      </c>
      <c r="J13" s="18"/>
      <c r="K13" s="9" t="str">
        <f>CONCATENATE(Table2[[#This Row],[Specs]],Table2[[#This Row],[Width]],Table2[[#This Row],[Slitting]])</f>
        <v>y ユポ80 MDN 8GB185</v>
      </c>
    </row>
    <row r="14" spans="1:19">
      <c r="A14" s="15" t="s">
        <v>11</v>
      </c>
      <c r="B14" s="18" t="s">
        <v>12</v>
      </c>
      <c r="C14" s="17">
        <v>130</v>
      </c>
      <c r="D14" s="18"/>
      <c r="E14" s="17">
        <v>600</v>
      </c>
      <c r="F14" s="17">
        <v>2</v>
      </c>
      <c r="G14" s="17">
        <f t="shared" si="0"/>
        <v>1200</v>
      </c>
      <c r="H14" s="18"/>
      <c r="I14" s="17">
        <f t="shared" si="1"/>
        <v>1200</v>
      </c>
      <c r="J14" s="18"/>
      <c r="K14" s="9" t="str">
        <f>CONCATENATE(Table2[[#This Row],[Specs]],Table2[[#This Row],[Width]],Table2[[#This Row],[Slitting]])</f>
        <v>Nキャスト&lt;73&gt;ME80E130</v>
      </c>
    </row>
    <row r="15" spans="1:19">
      <c r="A15" s="15" t="s">
        <v>13</v>
      </c>
      <c r="B15" s="18" t="s">
        <v>254</v>
      </c>
      <c r="C15" s="17">
        <v>125</v>
      </c>
      <c r="D15" s="18" t="s">
        <v>268</v>
      </c>
      <c r="E15" s="17">
        <v>600</v>
      </c>
      <c r="F15" s="17">
        <v>1</v>
      </c>
      <c r="G15" s="17">
        <f t="shared" si="0"/>
        <v>600</v>
      </c>
      <c r="H15" s="18"/>
      <c r="I15" s="17">
        <f t="shared" si="1"/>
        <v>600</v>
      </c>
      <c r="J15" s="18" t="s">
        <v>215</v>
      </c>
      <c r="K15" s="9" t="str">
        <f>CONCATENATE(Table2[[#This Row],[Specs]],Table2[[#This Row],[Width]],Table2[[#This Row],[Slitting]])</f>
        <v>y ユポ80 MDN 8GB125i 一本刃</v>
      </c>
    </row>
    <row r="16" spans="1:19">
      <c r="A16" s="15" t="s">
        <v>14</v>
      </c>
      <c r="B16" s="18" t="s">
        <v>254</v>
      </c>
      <c r="C16" s="17">
        <v>165</v>
      </c>
      <c r="D16" s="18"/>
      <c r="E16" s="17">
        <v>600</v>
      </c>
      <c r="F16" s="17">
        <v>1</v>
      </c>
      <c r="G16" s="17">
        <f t="shared" si="0"/>
        <v>600</v>
      </c>
      <c r="H16" s="18"/>
      <c r="I16" s="17">
        <f t="shared" si="1"/>
        <v>600</v>
      </c>
      <c r="J16" s="18"/>
      <c r="K16" s="9" t="str">
        <f>CONCATENATE(Table2[[#This Row],[Specs]],Table2[[#This Row],[Width]],Table2[[#This Row],[Slitting]])</f>
        <v>y ユポ80 MDN 8GB165</v>
      </c>
    </row>
    <row r="17" spans="1:11">
      <c r="A17" s="15" t="s">
        <v>14</v>
      </c>
      <c r="B17" s="19" t="s">
        <v>254</v>
      </c>
      <c r="C17" s="17">
        <v>155</v>
      </c>
      <c r="D17" s="18"/>
      <c r="E17" s="17">
        <v>600</v>
      </c>
      <c r="F17" s="17">
        <v>1</v>
      </c>
      <c r="G17" s="17">
        <f t="shared" si="0"/>
        <v>600</v>
      </c>
      <c r="H17" s="18">
        <v>600</v>
      </c>
      <c r="I17" s="17">
        <f t="shared" si="1"/>
        <v>0</v>
      </c>
      <c r="J17" s="18"/>
      <c r="K17" s="9" t="str">
        <f>CONCATENATE(Table2[[#This Row],[Specs]],Table2[[#This Row],[Width]],Table2[[#This Row],[Slitting]])</f>
        <v>y ユポ80 MDN 8GB155</v>
      </c>
    </row>
    <row r="18" spans="1:11">
      <c r="A18" s="15" t="s">
        <v>5</v>
      </c>
      <c r="B18" s="19" t="s">
        <v>254</v>
      </c>
      <c r="C18" s="17">
        <v>165</v>
      </c>
      <c r="D18" s="18"/>
      <c r="E18" s="17">
        <v>600</v>
      </c>
      <c r="F18" s="17">
        <v>1</v>
      </c>
      <c r="G18" s="17">
        <f t="shared" si="0"/>
        <v>600</v>
      </c>
      <c r="H18" s="17">
        <f>580+20</f>
        <v>600</v>
      </c>
      <c r="I18" s="17">
        <f t="shared" si="1"/>
        <v>0</v>
      </c>
      <c r="J18" s="18"/>
      <c r="K18" s="9" t="str">
        <f>CONCATENATE(Table2[[#This Row],[Specs]],Table2[[#This Row],[Width]],Table2[[#This Row],[Slitting]])</f>
        <v>y ユポ80 MDN 8GB165</v>
      </c>
    </row>
    <row r="19" spans="1:11">
      <c r="A19" s="15" t="s">
        <v>8</v>
      </c>
      <c r="B19" s="18" t="s">
        <v>254</v>
      </c>
      <c r="C19" s="17">
        <v>90</v>
      </c>
      <c r="D19" s="18"/>
      <c r="E19" s="17">
        <v>600</v>
      </c>
      <c r="F19" s="17">
        <v>1</v>
      </c>
      <c r="G19" s="17">
        <f t="shared" si="0"/>
        <v>600</v>
      </c>
      <c r="H19" s="18"/>
      <c r="I19" s="17">
        <f t="shared" si="1"/>
        <v>600</v>
      </c>
      <c r="J19" s="18"/>
      <c r="K19" s="9" t="str">
        <f>CONCATENATE(Table2[[#This Row],[Specs]],Table2[[#This Row],[Width]],Table2[[#This Row],[Slitting]])</f>
        <v>y ユポ80 MDN 8GB90</v>
      </c>
    </row>
    <row r="20" spans="1:11">
      <c r="A20" s="15" t="s">
        <v>7</v>
      </c>
      <c r="B20" s="18" t="s">
        <v>259</v>
      </c>
      <c r="C20" s="17">
        <v>150</v>
      </c>
      <c r="D20" s="18"/>
      <c r="E20" s="17">
        <v>600</v>
      </c>
      <c r="F20" s="17">
        <v>1</v>
      </c>
      <c r="G20" s="17">
        <f t="shared" si="0"/>
        <v>600</v>
      </c>
      <c r="H20" s="18"/>
      <c r="I20" s="17">
        <f t="shared" si="1"/>
        <v>600</v>
      </c>
      <c r="J20" s="18"/>
      <c r="K20" s="9" t="str">
        <f>CONCATENATE(Table2[[#This Row],[Specs]],Table2[[#This Row],[Width]],Table2[[#This Row],[Slitting]])</f>
        <v>j 上質150</v>
      </c>
    </row>
    <row r="21" spans="1:11">
      <c r="A21" s="15" t="s">
        <v>15</v>
      </c>
      <c r="B21" s="19" t="s">
        <v>254</v>
      </c>
      <c r="C21" s="17">
        <v>165</v>
      </c>
      <c r="D21" s="18"/>
      <c r="E21" s="17">
        <v>600</v>
      </c>
      <c r="F21" s="17">
        <v>1</v>
      </c>
      <c r="G21" s="17">
        <f t="shared" si="0"/>
        <v>600</v>
      </c>
      <c r="H21" s="18">
        <v>600</v>
      </c>
      <c r="I21" s="17">
        <f t="shared" si="1"/>
        <v>0</v>
      </c>
      <c r="J21" s="18"/>
      <c r="K21" s="9" t="str">
        <f>CONCATENATE(Table2[[#This Row],[Specs]],Table2[[#This Row],[Width]],Table2[[#This Row],[Slitting]])</f>
        <v>y ユポ80 MDN 8GB165</v>
      </c>
    </row>
    <row r="22" spans="1:11">
      <c r="A22" s="15" t="s">
        <v>15</v>
      </c>
      <c r="B22" s="19" t="s">
        <v>254</v>
      </c>
      <c r="C22" s="17">
        <v>125</v>
      </c>
      <c r="D22" s="18"/>
      <c r="E22" s="17">
        <v>600</v>
      </c>
      <c r="F22" s="17">
        <v>1</v>
      </c>
      <c r="G22" s="17">
        <f t="shared" si="0"/>
        <v>600</v>
      </c>
      <c r="H22" s="17">
        <f>200+400</f>
        <v>600</v>
      </c>
      <c r="I22" s="17">
        <f t="shared" si="1"/>
        <v>0</v>
      </c>
      <c r="J22" s="18" t="s">
        <v>215</v>
      </c>
      <c r="K22" s="9" t="str">
        <f>CONCATENATE(Table2[[#This Row],[Specs]],Table2[[#This Row],[Width]],Table2[[#This Row],[Slitting]])</f>
        <v>y ユポ80 MDN 8GB125</v>
      </c>
    </row>
    <row r="23" spans="1:11">
      <c r="A23" s="15" t="s">
        <v>15</v>
      </c>
      <c r="B23" s="18" t="s">
        <v>254</v>
      </c>
      <c r="C23" s="18">
        <v>205</v>
      </c>
      <c r="D23" s="18"/>
      <c r="E23" s="17">
        <v>600</v>
      </c>
      <c r="F23" s="17">
        <v>1</v>
      </c>
      <c r="G23" s="17">
        <f t="shared" si="0"/>
        <v>600</v>
      </c>
      <c r="H23" s="18"/>
      <c r="I23" s="17">
        <f t="shared" si="1"/>
        <v>600</v>
      </c>
      <c r="J23" s="18"/>
      <c r="K23" s="9" t="str">
        <f>CONCATENATE(Table2[[#This Row],[Specs]],Table2[[#This Row],[Width]],Table2[[#This Row],[Slitting]])</f>
        <v>y ユポ80 MDN 8GB205</v>
      </c>
    </row>
    <row r="24" spans="1:11">
      <c r="A24" s="15" t="s">
        <v>15</v>
      </c>
      <c r="B24" s="19" t="s">
        <v>254</v>
      </c>
      <c r="C24" s="17">
        <v>165</v>
      </c>
      <c r="D24" s="18"/>
      <c r="E24" s="17">
        <v>600</v>
      </c>
      <c r="F24" s="17">
        <v>1</v>
      </c>
      <c r="G24" s="17">
        <f t="shared" si="0"/>
        <v>600</v>
      </c>
      <c r="H24" s="18">
        <v>600</v>
      </c>
      <c r="I24" s="17">
        <f t="shared" si="1"/>
        <v>0</v>
      </c>
      <c r="J24" s="18"/>
      <c r="K24" s="9" t="str">
        <f>CONCATENATE(Table2[[#This Row],[Specs]],Table2[[#This Row],[Width]],Table2[[#This Row],[Slitting]])</f>
        <v>y ユポ80 MDN 8GB165</v>
      </c>
    </row>
    <row r="25" spans="1:11">
      <c r="A25" s="15" t="s">
        <v>15</v>
      </c>
      <c r="B25" s="16" t="s">
        <v>254</v>
      </c>
      <c r="C25" s="18">
        <v>125</v>
      </c>
      <c r="D25" s="18"/>
      <c r="E25" s="17">
        <v>600</v>
      </c>
      <c r="F25" s="17">
        <v>1</v>
      </c>
      <c r="G25" s="17">
        <f t="shared" si="0"/>
        <v>600</v>
      </c>
      <c r="H25" s="18">
        <v>570</v>
      </c>
      <c r="I25" s="17">
        <f t="shared" si="1"/>
        <v>30</v>
      </c>
      <c r="J25" s="18" t="s">
        <v>215</v>
      </c>
      <c r="K25" s="9" t="str">
        <f>CONCATENATE(Table2[[#This Row],[Specs]],Table2[[#This Row],[Width]],Table2[[#This Row],[Slitting]])</f>
        <v>y ユポ80 MDN 8GB125</v>
      </c>
    </row>
    <row r="26" spans="1:11">
      <c r="A26" s="15" t="s">
        <v>197</v>
      </c>
      <c r="B26" s="18" t="s">
        <v>259</v>
      </c>
      <c r="C26" s="17">
        <v>125</v>
      </c>
      <c r="D26" s="17" t="s">
        <v>268</v>
      </c>
      <c r="E26" s="17">
        <v>600</v>
      </c>
      <c r="F26" s="17">
        <v>1</v>
      </c>
      <c r="G26" s="17">
        <f t="shared" si="0"/>
        <v>600</v>
      </c>
      <c r="H26" s="18"/>
      <c r="I26" s="17">
        <f t="shared" si="1"/>
        <v>600</v>
      </c>
      <c r="J26" s="18" t="s">
        <v>215</v>
      </c>
      <c r="K26" s="9" t="str">
        <f>CONCATENATE(Table2[[#This Row],[Specs]],Table2[[#This Row],[Width]],Table2[[#This Row],[Slitting]])</f>
        <v>j 上質125i 一本刃</v>
      </c>
    </row>
    <row r="27" spans="1:11">
      <c r="A27" s="15" t="s">
        <v>197</v>
      </c>
      <c r="B27" s="53" t="s">
        <v>254</v>
      </c>
      <c r="C27" s="17">
        <v>140</v>
      </c>
      <c r="D27" s="18"/>
      <c r="E27" s="17">
        <v>600</v>
      </c>
      <c r="F27" s="17">
        <v>1</v>
      </c>
      <c r="G27" s="17">
        <f t="shared" si="0"/>
        <v>600</v>
      </c>
      <c r="H27" s="18">
        <v>600</v>
      </c>
      <c r="I27" s="17">
        <f t="shared" si="1"/>
        <v>0</v>
      </c>
      <c r="J27" s="18"/>
      <c r="K27" s="9" t="str">
        <f>CONCATENATE(Table2[[#This Row],[Specs]],Table2[[#This Row],[Width]],Table2[[#This Row],[Slitting]])</f>
        <v>y ユポ80 MDN 8GB140</v>
      </c>
    </row>
    <row r="28" spans="1:11">
      <c r="A28" s="15" t="s">
        <v>197</v>
      </c>
      <c r="B28" s="18" t="s">
        <v>254</v>
      </c>
      <c r="C28" s="17">
        <v>125</v>
      </c>
      <c r="D28" s="17" t="s">
        <v>268</v>
      </c>
      <c r="E28" s="17">
        <v>600</v>
      </c>
      <c r="F28" s="17">
        <v>1</v>
      </c>
      <c r="G28" s="17">
        <f t="shared" si="0"/>
        <v>600</v>
      </c>
      <c r="H28" s="18"/>
      <c r="I28" s="17">
        <f t="shared" si="1"/>
        <v>600</v>
      </c>
      <c r="J28" s="18" t="s">
        <v>215</v>
      </c>
      <c r="K28" s="9" t="str">
        <f>CONCATENATE(Table2[[#This Row],[Specs]],Table2[[#This Row],[Width]],Table2[[#This Row],[Slitting]])</f>
        <v>y ユポ80 MDN 8GB125i 一本刃</v>
      </c>
    </row>
    <row r="29" spans="1:11">
      <c r="A29" s="15" t="s">
        <v>197</v>
      </c>
      <c r="B29" s="18" t="s">
        <v>254</v>
      </c>
      <c r="C29" s="17">
        <v>125</v>
      </c>
      <c r="D29" s="17" t="s">
        <v>268</v>
      </c>
      <c r="E29" s="17">
        <v>600</v>
      </c>
      <c r="F29" s="17">
        <v>1</v>
      </c>
      <c r="G29" s="17">
        <f t="shared" si="0"/>
        <v>600</v>
      </c>
      <c r="H29" s="18"/>
      <c r="I29" s="17">
        <f t="shared" si="1"/>
        <v>600</v>
      </c>
      <c r="J29" s="18" t="s">
        <v>215</v>
      </c>
      <c r="K29" s="9" t="str">
        <f>CONCATENATE(Table2[[#This Row],[Specs]],Table2[[#This Row],[Width]],Table2[[#This Row],[Slitting]])</f>
        <v>y ユポ80 MDN 8GB125i 一本刃</v>
      </c>
    </row>
    <row r="30" spans="1:11">
      <c r="A30" s="15" t="s">
        <v>209</v>
      </c>
      <c r="B30" s="18" t="s">
        <v>210</v>
      </c>
      <c r="C30" s="17">
        <v>90</v>
      </c>
      <c r="D30" s="17"/>
      <c r="E30" s="17">
        <v>300</v>
      </c>
      <c r="F30" s="17">
        <v>1</v>
      </c>
      <c r="G30" s="17">
        <f t="shared" ref="G30:G65" si="2">F30*E30</f>
        <v>300</v>
      </c>
      <c r="H30" s="18"/>
      <c r="I30" s="17">
        <f t="shared" si="1"/>
        <v>300</v>
      </c>
      <c r="J30" s="18"/>
      <c r="K30" s="9" t="str">
        <f>CONCATENATE(Table2[[#This Row],[Specs]],Table2[[#This Row],[Width]],Table2[[#This Row],[Slitting]])</f>
        <v>PET50Sマット90</v>
      </c>
    </row>
    <row r="31" spans="1:11">
      <c r="A31" s="15" t="s">
        <v>211</v>
      </c>
      <c r="B31" s="19" t="s">
        <v>254</v>
      </c>
      <c r="C31" s="17">
        <v>165</v>
      </c>
      <c r="D31" s="17"/>
      <c r="E31" s="17">
        <v>600</v>
      </c>
      <c r="F31" s="17">
        <v>1</v>
      </c>
      <c r="G31" s="17">
        <f t="shared" si="2"/>
        <v>600</v>
      </c>
      <c r="H31" s="18">
        <v>600</v>
      </c>
      <c r="I31" s="17">
        <f t="shared" si="1"/>
        <v>0</v>
      </c>
      <c r="J31" s="18"/>
      <c r="K31" s="9" t="str">
        <f>CONCATENATE(Table2[[#This Row],[Specs]],Table2[[#This Row],[Width]],Table2[[#This Row],[Slitting]])</f>
        <v>y ユポ80 MDN 8GB165</v>
      </c>
    </row>
    <row r="32" spans="1:11">
      <c r="A32" s="15" t="s">
        <v>212</v>
      </c>
      <c r="B32" s="18" t="s">
        <v>210</v>
      </c>
      <c r="C32" s="17">
        <v>90</v>
      </c>
      <c r="D32" s="17"/>
      <c r="E32" s="17">
        <v>300</v>
      </c>
      <c r="F32" s="17">
        <v>1</v>
      </c>
      <c r="G32" s="17">
        <f t="shared" si="2"/>
        <v>300</v>
      </c>
      <c r="H32" s="18"/>
      <c r="I32" s="17">
        <f t="shared" si="1"/>
        <v>300</v>
      </c>
      <c r="J32" s="18"/>
      <c r="K32" s="9" t="str">
        <f>CONCATENATE(Table2[[#This Row],[Specs]],Table2[[#This Row],[Width]],Table2[[#This Row],[Slitting]])</f>
        <v>PET50Sマット90</v>
      </c>
    </row>
    <row r="33" spans="1:11">
      <c r="A33" s="15" t="s">
        <v>213</v>
      </c>
      <c r="B33" s="18" t="s">
        <v>210</v>
      </c>
      <c r="C33" s="17">
        <v>90</v>
      </c>
      <c r="D33" s="17"/>
      <c r="E33" s="17">
        <v>200</v>
      </c>
      <c r="F33" s="17">
        <v>1</v>
      </c>
      <c r="G33" s="17">
        <f t="shared" si="2"/>
        <v>200</v>
      </c>
      <c r="H33" s="18"/>
      <c r="I33" s="17">
        <f t="shared" si="1"/>
        <v>200</v>
      </c>
      <c r="J33" s="18"/>
      <c r="K33" s="9" t="str">
        <f>CONCATENATE(Table2[[#This Row],[Specs]],Table2[[#This Row],[Width]],Table2[[#This Row],[Slitting]])</f>
        <v>PET50Sマット90</v>
      </c>
    </row>
    <row r="34" spans="1:11">
      <c r="A34" s="15" t="s">
        <v>197</v>
      </c>
      <c r="B34" s="16" t="s">
        <v>12</v>
      </c>
      <c r="C34" s="17">
        <v>130</v>
      </c>
      <c r="D34" s="17"/>
      <c r="E34" s="17">
        <v>600</v>
      </c>
      <c r="F34" s="17">
        <v>1</v>
      </c>
      <c r="G34" s="17">
        <f t="shared" si="2"/>
        <v>600</v>
      </c>
      <c r="H34" s="17">
        <v>570</v>
      </c>
      <c r="I34" s="17">
        <f t="shared" si="1"/>
        <v>30</v>
      </c>
      <c r="J34" s="18" t="s">
        <v>214</v>
      </c>
      <c r="K34" s="9" t="str">
        <f>CONCATENATE(Table2[[#This Row],[Specs]],Table2[[#This Row],[Width]],Table2[[#This Row],[Slitting]])</f>
        <v>Nキャスト&lt;73&gt;ME80E130</v>
      </c>
    </row>
    <row r="35" spans="1:11">
      <c r="A35" s="15" t="s">
        <v>197</v>
      </c>
      <c r="B35" s="16" t="s">
        <v>210</v>
      </c>
      <c r="C35" s="17">
        <v>90</v>
      </c>
      <c r="D35" s="17"/>
      <c r="E35" s="17">
        <v>200</v>
      </c>
      <c r="F35" s="17">
        <v>1</v>
      </c>
      <c r="G35" s="17">
        <f t="shared" si="2"/>
        <v>200</v>
      </c>
      <c r="H35" s="17">
        <v>180</v>
      </c>
      <c r="I35" s="17">
        <f t="shared" si="1"/>
        <v>20</v>
      </c>
      <c r="J35" s="18"/>
      <c r="K35" s="9" t="str">
        <f>CONCATENATE(Table2[[#This Row],[Specs]],Table2[[#This Row],[Width]],Table2[[#This Row],[Slitting]])</f>
        <v>PET50Sマット90</v>
      </c>
    </row>
    <row r="36" spans="1:11">
      <c r="A36" s="15" t="s">
        <v>197</v>
      </c>
      <c r="B36" s="16" t="s">
        <v>210</v>
      </c>
      <c r="C36" s="17">
        <v>90</v>
      </c>
      <c r="D36" s="18"/>
      <c r="E36" s="17">
        <v>200</v>
      </c>
      <c r="F36" s="17">
        <v>1</v>
      </c>
      <c r="G36" s="17">
        <f t="shared" ref="G36" si="3">F36*E36</f>
        <v>200</v>
      </c>
      <c r="H36" s="17">
        <v>70</v>
      </c>
      <c r="I36" s="17">
        <f t="shared" si="1"/>
        <v>130</v>
      </c>
      <c r="J36" s="18"/>
      <c r="K36" s="9" t="str">
        <f>CONCATENATE(Table2[[#This Row],[Specs]],Table2[[#This Row],[Width]],Table2[[#This Row],[Slitting]])</f>
        <v>PET50Sマット90</v>
      </c>
    </row>
    <row r="37" spans="1:11">
      <c r="A37" s="15" t="s">
        <v>197</v>
      </c>
      <c r="B37" s="16" t="s">
        <v>254</v>
      </c>
      <c r="C37" s="17">
        <v>90</v>
      </c>
      <c r="D37" s="18"/>
      <c r="E37" s="17">
        <v>600</v>
      </c>
      <c r="F37" s="17">
        <v>1</v>
      </c>
      <c r="G37" s="17">
        <f t="shared" si="2"/>
        <v>600</v>
      </c>
      <c r="H37" s="17">
        <v>580</v>
      </c>
      <c r="I37" s="17">
        <f t="shared" si="1"/>
        <v>20</v>
      </c>
      <c r="J37" s="18"/>
      <c r="K37" s="9" t="str">
        <f>CONCATENATE(Table2[[#This Row],[Specs]],Table2[[#This Row],[Width]],Table2[[#This Row],[Slitting]])</f>
        <v>y ユポ80 MDN 8GB90</v>
      </c>
    </row>
    <row r="38" spans="1:11">
      <c r="A38" s="15" t="s">
        <v>197</v>
      </c>
      <c r="B38" s="19" t="s">
        <v>12</v>
      </c>
      <c r="C38" s="17">
        <v>90</v>
      </c>
      <c r="D38" s="18"/>
      <c r="E38" s="17">
        <v>600</v>
      </c>
      <c r="F38" s="17">
        <v>1</v>
      </c>
      <c r="G38" s="17">
        <f t="shared" si="2"/>
        <v>600</v>
      </c>
      <c r="H38" s="17">
        <v>600</v>
      </c>
      <c r="I38" s="17">
        <f t="shared" si="1"/>
        <v>0</v>
      </c>
      <c r="J38" s="18" t="s">
        <v>215</v>
      </c>
      <c r="K38" s="9" t="str">
        <f>CONCATENATE(Table2[[#This Row],[Specs]],Table2[[#This Row],[Width]],Table2[[#This Row],[Slitting]])</f>
        <v>Nキャスト&lt;73&gt;ME80E90</v>
      </c>
    </row>
    <row r="39" spans="1:11">
      <c r="A39" s="15" t="s">
        <v>197</v>
      </c>
      <c r="B39" s="16" t="s">
        <v>254</v>
      </c>
      <c r="C39" s="17">
        <v>90</v>
      </c>
      <c r="D39" s="18"/>
      <c r="E39" s="17">
        <v>600</v>
      </c>
      <c r="F39" s="17">
        <v>1</v>
      </c>
      <c r="G39" s="17">
        <f t="shared" ref="G39:G40" si="4">F39*E39</f>
        <v>600</v>
      </c>
      <c r="H39" s="17">
        <v>300</v>
      </c>
      <c r="I39" s="17">
        <f t="shared" si="1"/>
        <v>300</v>
      </c>
      <c r="J39" s="18" t="s">
        <v>215</v>
      </c>
      <c r="K39" s="9" t="str">
        <f>CONCATENATE(Table2[[#This Row],[Specs]],Table2[[#This Row],[Width]],Table2[[#This Row],[Slitting]])</f>
        <v>y ユポ80 MDN 8GB90</v>
      </c>
    </row>
    <row r="40" spans="1:11">
      <c r="A40" s="15" t="s">
        <v>197</v>
      </c>
      <c r="B40" s="19" t="s">
        <v>12</v>
      </c>
      <c r="C40" s="17">
        <v>90</v>
      </c>
      <c r="D40" s="18"/>
      <c r="E40" s="17">
        <v>600</v>
      </c>
      <c r="F40" s="17">
        <v>1</v>
      </c>
      <c r="G40" s="17">
        <f t="shared" si="4"/>
        <v>600</v>
      </c>
      <c r="H40" s="17">
        <v>600</v>
      </c>
      <c r="I40" s="17">
        <f t="shared" si="1"/>
        <v>0</v>
      </c>
      <c r="J40" s="18"/>
      <c r="K40" s="9" t="str">
        <f>CONCATENATE(Table2[[#This Row],[Specs]],Table2[[#This Row],[Width]],Table2[[#This Row],[Slitting]])</f>
        <v>Nキャスト&lt;73&gt;ME80E90</v>
      </c>
    </row>
    <row r="41" spans="1:11">
      <c r="A41" s="15" t="s">
        <v>197</v>
      </c>
      <c r="B41" s="18" t="s">
        <v>260</v>
      </c>
      <c r="C41" s="17">
        <v>90</v>
      </c>
      <c r="D41" s="18"/>
      <c r="E41" s="17">
        <v>100</v>
      </c>
      <c r="F41" s="17">
        <v>1</v>
      </c>
      <c r="G41" s="17">
        <f t="shared" si="2"/>
        <v>100</v>
      </c>
      <c r="H41" s="18"/>
      <c r="I41" s="17">
        <f t="shared" si="1"/>
        <v>100</v>
      </c>
      <c r="J41" s="18" t="s">
        <v>214</v>
      </c>
      <c r="K41" s="9" t="str">
        <f>CONCATENATE(Table2[[#This Row],[Specs]],Table2[[#This Row],[Width]],Table2[[#This Row],[Slitting]])</f>
        <v>j 上質55 ME 80E90</v>
      </c>
    </row>
    <row r="42" spans="1:11">
      <c r="A42" s="15" t="s">
        <v>197</v>
      </c>
      <c r="B42" s="16" t="s">
        <v>254</v>
      </c>
      <c r="C42" s="17">
        <v>90</v>
      </c>
      <c r="D42" s="18"/>
      <c r="E42" s="17">
        <v>600</v>
      </c>
      <c r="F42" s="17">
        <v>1</v>
      </c>
      <c r="G42" s="17">
        <f t="shared" ref="G42" si="5">F42*E42</f>
        <v>600</v>
      </c>
      <c r="H42" s="17">
        <v>480</v>
      </c>
      <c r="I42" s="17">
        <f t="shared" si="1"/>
        <v>120</v>
      </c>
      <c r="J42" s="18" t="s">
        <v>215</v>
      </c>
      <c r="K42" s="9" t="str">
        <f>CONCATENATE(Table2[[#This Row],[Specs]],Table2[[#This Row],[Width]],Table2[[#This Row],[Slitting]])</f>
        <v>y ユポ80 MDN 8GB90</v>
      </c>
    </row>
    <row r="43" spans="1:11">
      <c r="A43" s="15" t="s">
        <v>197</v>
      </c>
      <c r="B43" s="16" t="s">
        <v>259</v>
      </c>
      <c r="C43" s="17">
        <v>90</v>
      </c>
      <c r="D43" s="18"/>
      <c r="E43" s="17">
        <v>600</v>
      </c>
      <c r="F43" s="17">
        <v>1</v>
      </c>
      <c r="G43" s="17">
        <f t="shared" si="2"/>
        <v>600</v>
      </c>
      <c r="H43" s="17">
        <v>500</v>
      </c>
      <c r="I43" s="17">
        <f t="shared" si="1"/>
        <v>100</v>
      </c>
      <c r="J43" s="18" t="s">
        <v>215</v>
      </c>
      <c r="K43" s="9" t="str">
        <f>CONCATENATE(Table2[[#This Row],[Specs]],Table2[[#This Row],[Width]],Table2[[#This Row],[Slitting]])</f>
        <v>j 上質90</v>
      </c>
    </row>
    <row r="44" spans="1:11">
      <c r="A44" s="15" t="s">
        <v>197</v>
      </c>
      <c r="B44" s="16" t="s">
        <v>259</v>
      </c>
      <c r="C44" s="17">
        <v>90</v>
      </c>
      <c r="D44" s="18"/>
      <c r="E44" s="17">
        <v>600</v>
      </c>
      <c r="F44" s="17">
        <v>1</v>
      </c>
      <c r="G44" s="17">
        <f t="shared" ref="G44:G45" si="6">F44*E44</f>
        <v>600</v>
      </c>
      <c r="H44" s="17">
        <v>480</v>
      </c>
      <c r="I44" s="17">
        <f t="shared" si="1"/>
        <v>120</v>
      </c>
      <c r="J44" s="18" t="s">
        <v>215</v>
      </c>
      <c r="K44" s="9" t="str">
        <f>CONCATENATE(Table2[[#This Row],[Specs]],Table2[[#This Row],[Width]],Table2[[#This Row],[Slitting]])</f>
        <v>j 上質90</v>
      </c>
    </row>
    <row r="45" spans="1:11">
      <c r="A45" s="15" t="s">
        <v>197</v>
      </c>
      <c r="B45" s="16" t="s">
        <v>259</v>
      </c>
      <c r="C45" s="17">
        <v>90</v>
      </c>
      <c r="D45" s="18"/>
      <c r="E45" s="17">
        <v>600</v>
      </c>
      <c r="F45" s="17">
        <v>1</v>
      </c>
      <c r="G45" s="17">
        <f t="shared" si="6"/>
        <v>600</v>
      </c>
      <c r="H45" s="17">
        <v>300</v>
      </c>
      <c r="I45" s="17">
        <f t="shared" si="1"/>
        <v>300</v>
      </c>
      <c r="J45" s="18" t="s">
        <v>215</v>
      </c>
      <c r="K45" s="9" t="str">
        <f>CONCATENATE(Table2[[#This Row],[Specs]],Table2[[#This Row],[Width]],Table2[[#This Row],[Slitting]])</f>
        <v>j 上質90</v>
      </c>
    </row>
    <row r="46" spans="1:11">
      <c r="A46" s="15" t="s">
        <v>197</v>
      </c>
      <c r="B46" s="16" t="s">
        <v>259</v>
      </c>
      <c r="C46" s="17">
        <v>90</v>
      </c>
      <c r="D46" s="18"/>
      <c r="E46" s="17">
        <v>600</v>
      </c>
      <c r="F46" s="17">
        <v>1</v>
      </c>
      <c r="G46" s="17">
        <f t="shared" ref="G46" si="7">F46*E46</f>
        <v>600</v>
      </c>
      <c r="H46" s="17">
        <v>580</v>
      </c>
      <c r="I46" s="17">
        <f t="shared" si="1"/>
        <v>20</v>
      </c>
      <c r="J46" s="18" t="s">
        <v>215</v>
      </c>
      <c r="K46" s="9" t="str">
        <f>CONCATENATE(Table2[[#This Row],[Specs]],Table2[[#This Row],[Width]],Table2[[#This Row],[Slitting]])</f>
        <v>j 上質90</v>
      </c>
    </row>
    <row r="47" spans="1:11">
      <c r="A47" s="15" t="s">
        <v>217</v>
      </c>
      <c r="B47" s="18" t="s">
        <v>263</v>
      </c>
      <c r="C47" s="17">
        <v>135</v>
      </c>
      <c r="D47" s="18"/>
      <c r="E47" s="17">
        <v>60</v>
      </c>
      <c r="F47" s="17">
        <v>1</v>
      </c>
      <c r="G47" s="17">
        <f t="shared" si="2"/>
        <v>60</v>
      </c>
      <c r="H47" s="17"/>
      <c r="I47" s="17">
        <f t="shared" si="1"/>
        <v>60</v>
      </c>
      <c r="J47" s="18" t="s">
        <v>218</v>
      </c>
      <c r="K47" s="20" t="str">
        <f>CONCATENATE(Table2[[#This Row],[Specs]],Table2[[#This Row],[Width]],Table2[[#This Row],[Slitting]])</f>
        <v>IJPマットコート135</v>
      </c>
    </row>
    <row r="48" spans="1:11">
      <c r="A48" s="15" t="s">
        <v>219</v>
      </c>
      <c r="B48" s="16" t="s">
        <v>254</v>
      </c>
      <c r="C48" s="17">
        <v>205</v>
      </c>
      <c r="D48" s="17" t="s">
        <v>268</v>
      </c>
      <c r="E48" s="17">
        <v>600</v>
      </c>
      <c r="F48" s="17">
        <v>1</v>
      </c>
      <c r="G48" s="17">
        <f t="shared" si="2"/>
        <v>600</v>
      </c>
      <c r="H48" s="17">
        <v>580</v>
      </c>
      <c r="I48" s="17">
        <f t="shared" si="1"/>
        <v>20</v>
      </c>
      <c r="J48" s="18" t="s">
        <v>220</v>
      </c>
      <c r="K48" s="20" t="str">
        <f>CONCATENATE(Table2[[#This Row],[Specs]],Table2[[#This Row],[Width]],Table2[[#This Row],[Slitting]])</f>
        <v>y ユポ80 MDN 8GB205i 一本刃</v>
      </c>
    </row>
    <row r="49" spans="1:11">
      <c r="A49" s="15" t="s">
        <v>219</v>
      </c>
      <c r="B49" s="18" t="s">
        <v>210</v>
      </c>
      <c r="C49" s="17">
        <v>120</v>
      </c>
      <c r="D49" s="18"/>
      <c r="E49" s="17">
        <v>400</v>
      </c>
      <c r="F49" s="17">
        <v>1</v>
      </c>
      <c r="G49" s="17">
        <f t="shared" si="2"/>
        <v>400</v>
      </c>
      <c r="H49" s="17"/>
      <c r="I49" s="17">
        <f t="shared" si="1"/>
        <v>400</v>
      </c>
      <c r="J49" s="18" t="s">
        <v>221</v>
      </c>
      <c r="K49" s="20" t="str">
        <f>CONCATENATE(Table2[[#This Row],[Specs]],Table2[[#This Row],[Width]],Table2[[#This Row],[Slitting]])</f>
        <v>PET50Sマット120</v>
      </c>
    </row>
    <row r="50" spans="1:11">
      <c r="A50" s="15" t="s">
        <v>219</v>
      </c>
      <c r="B50" s="16" t="s">
        <v>254</v>
      </c>
      <c r="C50" s="17">
        <v>215</v>
      </c>
      <c r="D50" s="18"/>
      <c r="E50" s="17">
        <v>600</v>
      </c>
      <c r="F50" s="17">
        <v>1</v>
      </c>
      <c r="G50" s="17">
        <f t="shared" si="2"/>
        <v>600</v>
      </c>
      <c r="H50" s="17">
        <v>570</v>
      </c>
      <c r="I50" s="17">
        <f t="shared" si="1"/>
        <v>30</v>
      </c>
      <c r="J50" s="18" t="s">
        <v>220</v>
      </c>
      <c r="K50" s="20" t="str">
        <f>CONCATENATE(Table2[[#This Row],[Specs]],Table2[[#This Row],[Width]],Table2[[#This Row],[Slitting]])</f>
        <v>y ユポ80 MDN 8GB215</v>
      </c>
    </row>
    <row r="51" spans="1:11">
      <c r="A51" s="15" t="s">
        <v>222</v>
      </c>
      <c r="B51" s="18" t="s">
        <v>231</v>
      </c>
      <c r="C51" s="17">
        <v>100</v>
      </c>
      <c r="D51" s="18"/>
      <c r="E51" s="17">
        <v>200</v>
      </c>
      <c r="F51" s="17">
        <v>1</v>
      </c>
      <c r="G51" s="17">
        <f t="shared" si="2"/>
        <v>200</v>
      </c>
      <c r="H51" s="17"/>
      <c r="I51" s="17">
        <f t="shared" si="1"/>
        <v>200</v>
      </c>
      <c r="J51" s="18" t="s">
        <v>223</v>
      </c>
      <c r="K51" s="20" t="str">
        <f>CONCATENATE(Table2[[#This Row],[Specs]],Table2[[#This Row],[Width]],Table2[[#This Row],[Slitting]])</f>
        <v>N 上質&lt;55&gt;ME 7GB100</v>
      </c>
    </row>
    <row r="52" spans="1:11">
      <c r="A52" s="15" t="s">
        <v>219</v>
      </c>
      <c r="B52" s="18" t="s">
        <v>261</v>
      </c>
      <c r="C52" s="17">
        <v>100</v>
      </c>
      <c r="D52" s="18"/>
      <c r="E52" s="17">
        <v>100</v>
      </c>
      <c r="F52" s="17">
        <v>1</v>
      </c>
      <c r="G52" s="17">
        <f t="shared" si="2"/>
        <v>100</v>
      </c>
      <c r="H52" s="17"/>
      <c r="I52" s="17">
        <f t="shared" si="1"/>
        <v>100</v>
      </c>
      <c r="J52" s="18" t="s">
        <v>223</v>
      </c>
      <c r="K52" s="20" t="str">
        <f>CONCATENATE(Table2[[#This Row],[Specs]],Table2[[#This Row],[Width]],Table2[[#This Row],[Slitting]])</f>
        <v>j 上質&lt;55&gt;PC 7GB100</v>
      </c>
    </row>
    <row r="53" spans="1:11">
      <c r="A53" s="15" t="s">
        <v>224</v>
      </c>
      <c r="B53" s="16" t="s">
        <v>261</v>
      </c>
      <c r="C53" s="17">
        <v>100</v>
      </c>
      <c r="D53" s="18"/>
      <c r="E53" s="17">
        <v>600</v>
      </c>
      <c r="F53" s="17">
        <v>1</v>
      </c>
      <c r="G53" s="17">
        <f t="shared" si="2"/>
        <v>600</v>
      </c>
      <c r="H53" s="17">
        <v>585</v>
      </c>
      <c r="I53" s="17">
        <f t="shared" si="1"/>
        <v>15</v>
      </c>
      <c r="J53" s="18" t="s">
        <v>220</v>
      </c>
      <c r="K53" s="20" t="str">
        <f>CONCATENATE(Table2[[#This Row],[Specs]],Table2[[#This Row],[Width]],Table2[[#This Row],[Slitting]])</f>
        <v>j 上質&lt;55&gt;PC 7GB100</v>
      </c>
    </row>
    <row r="54" spans="1:11">
      <c r="A54" s="15" t="s">
        <v>224</v>
      </c>
      <c r="B54" s="19" t="s">
        <v>254</v>
      </c>
      <c r="C54" s="17">
        <v>125</v>
      </c>
      <c r="D54" s="17" t="s">
        <v>268</v>
      </c>
      <c r="E54" s="17">
        <v>600</v>
      </c>
      <c r="F54" s="17">
        <v>1</v>
      </c>
      <c r="G54" s="17">
        <f t="shared" si="2"/>
        <v>600</v>
      </c>
      <c r="H54" s="17">
        <v>600</v>
      </c>
      <c r="I54" s="17">
        <f t="shared" si="1"/>
        <v>0</v>
      </c>
      <c r="J54" s="18" t="s">
        <v>223</v>
      </c>
      <c r="K54" s="20" t="str">
        <f>CONCATENATE(Table2[[#This Row],[Specs]],Table2[[#This Row],[Width]],Table2[[#This Row],[Slitting]])</f>
        <v>y ユポ80 MDN 8GB125i 一本刃</v>
      </c>
    </row>
    <row r="55" spans="1:11">
      <c r="A55" s="15" t="s">
        <v>222</v>
      </c>
      <c r="B55" s="16" t="s">
        <v>232</v>
      </c>
      <c r="C55" s="17">
        <v>175</v>
      </c>
      <c r="D55" s="18"/>
      <c r="E55" s="17">
        <v>400</v>
      </c>
      <c r="F55" s="17">
        <v>1</v>
      </c>
      <c r="G55" s="17">
        <f t="shared" si="2"/>
        <v>400</v>
      </c>
      <c r="H55" s="17">
        <v>380</v>
      </c>
      <c r="I55" s="17">
        <f t="shared" si="1"/>
        <v>20</v>
      </c>
      <c r="J55" s="18" t="s">
        <v>225</v>
      </c>
      <c r="K55" s="20" t="str">
        <f>CONCATENATE(Table2[[#This Row],[Specs]],Table2[[#This Row],[Width]],Table2[[#This Row],[Slitting]])</f>
        <v>N 上質&lt;55&gt;ME 80E175</v>
      </c>
    </row>
    <row r="56" spans="1:11">
      <c r="A56" s="15" t="s">
        <v>219</v>
      </c>
      <c r="B56" s="18" t="s">
        <v>231</v>
      </c>
      <c r="C56" s="17">
        <v>100</v>
      </c>
      <c r="D56" s="18"/>
      <c r="E56" s="17">
        <v>200</v>
      </c>
      <c r="F56" s="17">
        <v>1</v>
      </c>
      <c r="G56" s="17">
        <f t="shared" si="2"/>
        <v>200</v>
      </c>
      <c r="H56" s="17"/>
      <c r="I56" s="17">
        <f t="shared" si="1"/>
        <v>200</v>
      </c>
      <c r="J56" s="18" t="s">
        <v>223</v>
      </c>
      <c r="K56" s="20" t="str">
        <f>CONCATENATE(Table2[[#This Row],[Specs]],Table2[[#This Row],[Width]],Table2[[#This Row],[Slitting]])</f>
        <v>N 上質&lt;55&gt;ME 7GB100</v>
      </c>
    </row>
    <row r="57" spans="1:11">
      <c r="A57" s="15" t="s">
        <v>224</v>
      </c>
      <c r="B57" s="18" t="s">
        <v>264</v>
      </c>
      <c r="C57" s="17">
        <v>40</v>
      </c>
      <c r="D57" s="18"/>
      <c r="E57" s="17">
        <v>80</v>
      </c>
      <c r="F57" s="17">
        <v>1</v>
      </c>
      <c r="G57" s="17">
        <f t="shared" si="2"/>
        <v>80</v>
      </c>
      <c r="H57" s="17"/>
      <c r="I57" s="17">
        <f t="shared" si="1"/>
        <v>80</v>
      </c>
      <c r="J57" s="18"/>
      <c r="K57" s="20" t="str">
        <f>CONCATENATE(Table2[[#This Row],[Specs]],Table2[[#This Row],[Width]],Table2[[#This Row],[Slitting]])</f>
        <v>ヤート&lt;73&gt;メモリー訂正 80H40</v>
      </c>
    </row>
    <row r="58" spans="1:11">
      <c r="A58" s="15" t="s">
        <v>226</v>
      </c>
      <c r="B58" s="18" t="s">
        <v>264</v>
      </c>
      <c r="C58" s="17">
        <v>40</v>
      </c>
      <c r="D58" s="18"/>
      <c r="E58" s="17">
        <v>80</v>
      </c>
      <c r="F58" s="17">
        <v>1</v>
      </c>
      <c r="G58" s="17">
        <f t="shared" si="2"/>
        <v>80</v>
      </c>
      <c r="H58" s="17"/>
      <c r="I58" s="17">
        <f t="shared" si="1"/>
        <v>80</v>
      </c>
      <c r="J58" s="18"/>
      <c r="K58" s="20" t="str">
        <f>CONCATENATE(Table2[[#This Row],[Specs]],Table2[[#This Row],[Width]],Table2[[#This Row],[Slitting]])</f>
        <v>ヤート&lt;73&gt;メモリー訂正 80H40</v>
      </c>
    </row>
    <row r="59" spans="1:11">
      <c r="A59" s="15" t="s">
        <v>219</v>
      </c>
      <c r="B59" s="16" t="s">
        <v>262</v>
      </c>
      <c r="C59" s="17">
        <v>160</v>
      </c>
      <c r="D59" s="18"/>
      <c r="E59" s="17">
        <v>600</v>
      </c>
      <c r="F59" s="17">
        <v>1</v>
      </c>
      <c r="G59" s="17">
        <f t="shared" si="2"/>
        <v>600</v>
      </c>
      <c r="H59" s="17">
        <v>590</v>
      </c>
      <c r="I59" s="17">
        <f t="shared" si="1"/>
        <v>10</v>
      </c>
      <c r="J59" s="18"/>
      <c r="K59" s="20" t="str">
        <f>CONCATENATE(Table2[[#This Row],[Specs]],Table2[[#This Row],[Width]],Table2[[#This Row],[Slitting]])</f>
        <v>j 上質&lt;70&gt; ME 7GB160</v>
      </c>
    </row>
    <row r="60" spans="1:11">
      <c r="A60" s="15" t="s">
        <v>227</v>
      </c>
      <c r="B60" s="19" t="s">
        <v>254</v>
      </c>
      <c r="C60" s="17">
        <v>185</v>
      </c>
      <c r="D60" s="18"/>
      <c r="E60" s="17">
        <v>600</v>
      </c>
      <c r="F60" s="17">
        <v>1</v>
      </c>
      <c r="G60" s="17">
        <f t="shared" si="2"/>
        <v>600</v>
      </c>
      <c r="H60" s="17">
        <v>600</v>
      </c>
      <c r="I60" s="17">
        <f t="shared" si="1"/>
        <v>0</v>
      </c>
      <c r="J60" s="18"/>
      <c r="K60" s="20" t="str">
        <f>CONCATENATE(Table2[[#This Row],[Specs]],Table2[[#This Row],[Width]],Table2[[#This Row],[Slitting]])</f>
        <v>y ユポ80 MDN 8GB185</v>
      </c>
    </row>
    <row r="61" spans="1:11">
      <c r="A61" s="15" t="s">
        <v>228</v>
      </c>
      <c r="B61" s="33" t="s">
        <v>254</v>
      </c>
      <c r="C61" s="17">
        <v>155</v>
      </c>
      <c r="D61" s="18"/>
      <c r="E61" s="17">
        <v>600</v>
      </c>
      <c r="F61" s="17">
        <v>1</v>
      </c>
      <c r="G61" s="17">
        <f t="shared" si="2"/>
        <v>600</v>
      </c>
      <c r="H61" s="17">
        <f>560+40</f>
        <v>600</v>
      </c>
      <c r="I61" s="17">
        <f t="shared" si="1"/>
        <v>0</v>
      </c>
      <c r="J61" s="18"/>
      <c r="K61" s="20" t="str">
        <f>CONCATENATE(Table2[[#This Row],[Specs]],Table2[[#This Row],[Width]],Table2[[#This Row],[Slitting]])</f>
        <v>y ユポ80 MDN 8GB155</v>
      </c>
    </row>
    <row r="62" spans="1:11">
      <c r="A62" s="15" t="s">
        <v>224</v>
      </c>
      <c r="B62" s="19" t="s">
        <v>277</v>
      </c>
      <c r="C62" s="17">
        <v>90</v>
      </c>
      <c r="D62" s="18"/>
      <c r="E62" s="17">
        <v>600</v>
      </c>
      <c r="F62" s="17">
        <v>1</v>
      </c>
      <c r="G62" s="17">
        <f t="shared" si="2"/>
        <v>600</v>
      </c>
      <c r="H62" s="17">
        <v>600</v>
      </c>
      <c r="I62" s="17">
        <f t="shared" si="1"/>
        <v>0</v>
      </c>
      <c r="J62" s="18"/>
      <c r="K62" s="20" t="str">
        <f>CONCATENATE(Table2[[#This Row],[Specs]],Table2[[#This Row],[Width]],Table2[[#This Row],[Slitting]])</f>
        <v>Nキャスト&lt;73&gt;ME80E90</v>
      </c>
    </row>
    <row r="63" spans="1:11">
      <c r="A63" s="15" t="s">
        <v>219</v>
      </c>
      <c r="B63" s="21" t="s">
        <v>254</v>
      </c>
      <c r="C63" s="17">
        <v>115</v>
      </c>
      <c r="D63" s="18"/>
      <c r="E63" s="17">
        <v>600</v>
      </c>
      <c r="F63" s="17">
        <v>1</v>
      </c>
      <c r="G63" s="17">
        <f t="shared" si="2"/>
        <v>600</v>
      </c>
      <c r="H63" s="17">
        <v>550</v>
      </c>
      <c r="I63" s="17">
        <f t="shared" si="1"/>
        <v>50</v>
      </c>
      <c r="J63" s="18"/>
      <c r="K63" s="20" t="str">
        <f>CONCATENATE(Table2[[#This Row],[Specs]],Table2[[#This Row],[Width]],Table2[[#This Row],[Slitting]])</f>
        <v>y ユポ80 MDN 8GB115</v>
      </c>
    </row>
    <row r="64" spans="1:11">
      <c r="A64" s="15" t="s">
        <v>251</v>
      </c>
      <c r="B64" s="16" t="s">
        <v>254</v>
      </c>
      <c r="C64" s="17">
        <v>165</v>
      </c>
      <c r="D64" s="18"/>
      <c r="E64" s="17">
        <v>600</v>
      </c>
      <c r="F64" s="17">
        <v>1</v>
      </c>
      <c r="G64" s="17">
        <f t="shared" si="2"/>
        <v>600</v>
      </c>
      <c r="H64" s="17">
        <v>400</v>
      </c>
      <c r="I64" s="17">
        <f t="shared" si="1"/>
        <v>200</v>
      </c>
      <c r="J64" s="18"/>
      <c r="K64" s="20" t="str">
        <f>CONCATENATE(Table2[[#This Row],[Specs]],Table2[[#This Row],[Width]],Table2[[#This Row],[Slitting]])</f>
        <v>y ユポ80 MDN 8GB165</v>
      </c>
    </row>
    <row r="65" spans="1:11">
      <c r="A65" s="15" t="s">
        <v>251</v>
      </c>
      <c r="B65" s="19" t="s">
        <v>254</v>
      </c>
      <c r="C65" s="17">
        <v>165</v>
      </c>
      <c r="D65" s="18"/>
      <c r="E65" s="17">
        <v>600</v>
      </c>
      <c r="F65" s="17">
        <v>1</v>
      </c>
      <c r="G65" s="17">
        <f t="shared" si="2"/>
        <v>600</v>
      </c>
      <c r="H65" s="17">
        <v>600</v>
      </c>
      <c r="I65" s="17">
        <f t="shared" si="1"/>
        <v>0</v>
      </c>
      <c r="J65" s="18"/>
      <c r="K65" s="20" t="str">
        <f>CONCATENATE(Table2[[#This Row],[Specs]],Table2[[#This Row],[Width]],Table2[[#This Row],[Slitting]])</f>
        <v>y ユポ80 MDN 8GB165</v>
      </c>
    </row>
    <row r="66" spans="1:11">
      <c r="A66" s="15" t="s">
        <v>266</v>
      </c>
      <c r="B66" s="19" t="s">
        <v>254</v>
      </c>
      <c r="C66" s="17">
        <v>155</v>
      </c>
      <c r="D66" s="17"/>
      <c r="E66" s="17">
        <v>600</v>
      </c>
      <c r="F66" s="17">
        <v>1</v>
      </c>
      <c r="G66" s="17">
        <f t="shared" ref="G66:G72" si="8">F66*E66</f>
        <v>600</v>
      </c>
      <c r="H66" s="17">
        <v>600</v>
      </c>
      <c r="I66" s="17">
        <f t="shared" ref="I66:I72" si="9">G66-H66</f>
        <v>0</v>
      </c>
      <c r="J66" s="18" t="s">
        <v>215</v>
      </c>
      <c r="K66" s="20" t="str">
        <f>CONCATENATE(Table2[[#This Row],[Specs]],Table2[[#This Row],[Width]],Table2[[#This Row],[Slitting]])</f>
        <v>y ユポ80 MDN 8GB155</v>
      </c>
    </row>
    <row r="67" spans="1:11">
      <c r="A67" s="15" t="s">
        <v>266</v>
      </c>
      <c r="B67" s="18" t="s">
        <v>254</v>
      </c>
      <c r="C67" s="17">
        <v>185</v>
      </c>
      <c r="D67" s="17"/>
      <c r="E67" s="17">
        <v>600</v>
      </c>
      <c r="F67" s="17">
        <v>1</v>
      </c>
      <c r="G67" s="17">
        <f t="shared" si="8"/>
        <v>600</v>
      </c>
      <c r="H67" s="17"/>
      <c r="I67" s="17">
        <f t="shared" si="9"/>
        <v>600</v>
      </c>
      <c r="J67" s="18" t="s">
        <v>215</v>
      </c>
      <c r="K67" s="20" t="str">
        <f>CONCATENATE(Table2[[#This Row],[Specs]],Table2[[#This Row],[Width]],Table2[[#This Row],[Slitting]])</f>
        <v>y ユポ80 MDN 8GB185</v>
      </c>
    </row>
    <row r="68" spans="1:11">
      <c r="A68" s="15" t="s">
        <v>197</v>
      </c>
      <c r="B68" s="35" t="s">
        <v>254</v>
      </c>
      <c r="C68" s="17">
        <v>155</v>
      </c>
      <c r="D68" s="17" t="s">
        <v>268</v>
      </c>
      <c r="E68" s="17">
        <v>600</v>
      </c>
      <c r="F68" s="17">
        <v>1</v>
      </c>
      <c r="G68" s="17">
        <f t="shared" si="8"/>
        <v>600</v>
      </c>
      <c r="H68" s="17">
        <v>500</v>
      </c>
      <c r="I68" s="17">
        <f t="shared" si="9"/>
        <v>100</v>
      </c>
      <c r="J68" s="18" t="s">
        <v>215</v>
      </c>
      <c r="K68" s="20" t="str">
        <f>CONCATENATE(Table2[[#This Row],[Specs]],Table2[[#This Row],[Width]],Table2[[#This Row],[Slitting]])</f>
        <v>y ユポ80 MDN 8GB155i 一本刃</v>
      </c>
    </row>
    <row r="69" spans="1:11">
      <c r="A69" s="15" t="s">
        <v>269</v>
      </c>
      <c r="B69" s="19" t="s">
        <v>254</v>
      </c>
      <c r="C69" s="17">
        <v>165</v>
      </c>
      <c r="D69" s="17"/>
      <c r="E69" s="17">
        <v>600</v>
      </c>
      <c r="F69" s="17">
        <v>1</v>
      </c>
      <c r="G69" s="17">
        <f t="shared" si="8"/>
        <v>600</v>
      </c>
      <c r="H69" s="17">
        <v>600</v>
      </c>
      <c r="I69" s="17">
        <f t="shared" si="9"/>
        <v>0</v>
      </c>
      <c r="J69" s="18"/>
      <c r="K69" s="20" t="str">
        <f>CONCATENATE(Table2[[#This Row],[Specs]],Table2[[#This Row],[Width]],Table2[[#This Row],[Slitting]])</f>
        <v>y ユポ80 MDN 8GB165</v>
      </c>
    </row>
    <row r="70" spans="1:11">
      <c r="A70" s="15" t="s">
        <v>269</v>
      </c>
      <c r="B70" s="19" t="s">
        <v>254</v>
      </c>
      <c r="C70" s="17">
        <v>165</v>
      </c>
      <c r="D70" s="17"/>
      <c r="E70" s="17">
        <v>600</v>
      </c>
      <c r="F70" s="17">
        <v>1</v>
      </c>
      <c r="G70" s="17">
        <f t="shared" si="8"/>
        <v>600</v>
      </c>
      <c r="H70" s="17">
        <v>600</v>
      </c>
      <c r="I70" s="17">
        <f t="shared" si="9"/>
        <v>0</v>
      </c>
      <c r="J70" s="18"/>
      <c r="K70" s="20" t="str">
        <f>CONCATENATE(Table2[[#This Row],[Specs]],Table2[[#This Row],[Width]],Table2[[#This Row],[Slitting]])</f>
        <v>y ユポ80 MDN 8GB165</v>
      </c>
    </row>
    <row r="71" spans="1:11">
      <c r="A71" s="15" t="s">
        <v>197</v>
      </c>
      <c r="B71" s="16" t="s">
        <v>254</v>
      </c>
      <c r="C71" s="17">
        <v>185</v>
      </c>
      <c r="D71" s="17"/>
      <c r="E71" s="17">
        <v>600</v>
      </c>
      <c r="F71" s="17">
        <v>1</v>
      </c>
      <c r="G71" s="17">
        <f t="shared" si="8"/>
        <v>600</v>
      </c>
      <c r="H71" s="17">
        <v>550</v>
      </c>
      <c r="I71" s="17">
        <f t="shared" si="9"/>
        <v>50</v>
      </c>
      <c r="J71" s="18"/>
      <c r="K71" s="20" t="str">
        <f>CONCATENATE(Table2[[#This Row],[Specs]],Table2[[#This Row],[Width]],Table2[[#This Row],[Slitting]])</f>
        <v>y ユポ80 MDN 8GB185</v>
      </c>
    </row>
    <row r="72" spans="1:11">
      <c r="A72" s="15" t="s">
        <v>272</v>
      </c>
      <c r="B72" s="16" t="s">
        <v>12</v>
      </c>
      <c r="C72" s="17">
        <v>90</v>
      </c>
      <c r="D72" s="17"/>
      <c r="E72" s="17">
        <v>600</v>
      </c>
      <c r="F72" s="17">
        <v>1</v>
      </c>
      <c r="G72" s="17">
        <f t="shared" si="8"/>
        <v>600</v>
      </c>
      <c r="H72" s="17">
        <v>400</v>
      </c>
      <c r="I72" s="17">
        <f t="shared" si="9"/>
        <v>200</v>
      </c>
      <c r="J72" s="18"/>
      <c r="K72" s="20" t="str">
        <f>CONCATENATE(Table2[[#This Row],[Specs]],Table2[[#This Row],[Width]],Table2[[#This Row],[Slitting]])</f>
        <v>Nキャスト&lt;73&gt;ME80E90</v>
      </c>
    </row>
    <row r="73" spans="1:11">
      <c r="A73" s="15" t="s">
        <v>271</v>
      </c>
      <c r="B73" s="19" t="s">
        <v>254</v>
      </c>
      <c r="C73" s="17">
        <v>165</v>
      </c>
      <c r="D73" s="17"/>
      <c r="E73" s="17">
        <v>600</v>
      </c>
      <c r="F73" s="17">
        <v>1</v>
      </c>
      <c r="G73" s="17">
        <f t="shared" ref="G73:G79" si="10">F73*E73</f>
        <v>600</v>
      </c>
      <c r="H73" s="17">
        <v>600</v>
      </c>
      <c r="I73" s="17">
        <f t="shared" ref="I73:I79" si="11">G73-H73</f>
        <v>0</v>
      </c>
      <c r="J73" s="18"/>
      <c r="K73" s="20" t="str">
        <f>CONCATENATE(Table2[[#This Row],[Specs]],Table2[[#This Row],[Width]],Table2[[#This Row],[Slitting]])</f>
        <v>y ユポ80 MDN 8GB165</v>
      </c>
    </row>
    <row r="74" spans="1:11">
      <c r="A74" s="15" t="s">
        <v>271</v>
      </c>
      <c r="B74" s="18" t="s">
        <v>230</v>
      </c>
      <c r="C74" s="17">
        <v>40</v>
      </c>
      <c r="D74" s="17"/>
      <c r="E74" s="17">
        <v>80</v>
      </c>
      <c r="F74" s="17">
        <v>1</v>
      </c>
      <c r="G74" s="17">
        <f t="shared" si="10"/>
        <v>80</v>
      </c>
      <c r="H74" s="17"/>
      <c r="I74" s="17">
        <f t="shared" si="11"/>
        <v>80</v>
      </c>
      <c r="J74" s="18"/>
      <c r="K74" s="20" t="str">
        <f>CONCATENATE(Table2[[#This Row],[Specs]],Table2[[#This Row],[Width]],Table2[[#This Row],[Slitting]])</f>
        <v>ヤート&lt;73&gt;メモリー訂正 80H40</v>
      </c>
    </row>
    <row r="75" spans="1:11">
      <c r="A75" s="15" t="s">
        <v>271</v>
      </c>
      <c r="B75" s="18" t="s">
        <v>230</v>
      </c>
      <c r="C75" s="17">
        <v>100</v>
      </c>
      <c r="D75" s="17"/>
      <c r="E75" s="17">
        <v>400</v>
      </c>
      <c r="F75" s="17">
        <v>1</v>
      </c>
      <c r="G75" s="17">
        <f t="shared" si="10"/>
        <v>400</v>
      </c>
      <c r="H75" s="17"/>
      <c r="I75" s="17">
        <f t="shared" si="11"/>
        <v>400</v>
      </c>
      <c r="J75" s="18"/>
      <c r="K75" s="20" t="str">
        <f>CONCATENATE(Table2[[#This Row],[Specs]],Table2[[#This Row],[Width]],Table2[[#This Row],[Slitting]])</f>
        <v>ヤート&lt;73&gt;メモリー訂正 80H100</v>
      </c>
    </row>
    <row r="76" spans="1:11">
      <c r="A76" s="15" t="s">
        <v>274</v>
      </c>
      <c r="B76" s="19" t="s">
        <v>254</v>
      </c>
      <c r="C76" s="17">
        <v>165</v>
      </c>
      <c r="D76" s="17"/>
      <c r="E76" s="17">
        <v>600</v>
      </c>
      <c r="F76" s="17">
        <v>1</v>
      </c>
      <c r="G76" s="17">
        <f t="shared" si="10"/>
        <v>600</v>
      </c>
      <c r="H76" s="17">
        <v>600</v>
      </c>
      <c r="I76" s="17">
        <f t="shared" si="11"/>
        <v>0</v>
      </c>
      <c r="J76" s="18"/>
      <c r="K76" s="20" t="str">
        <f>CONCATENATE(Table2[[#This Row],[Specs]],Table2[[#This Row],[Width]],Table2[[#This Row],[Slitting]])</f>
        <v>y ユポ80 MDN 8GB165</v>
      </c>
    </row>
    <row r="77" spans="1:11">
      <c r="A77" s="15" t="s">
        <v>274</v>
      </c>
      <c r="B77" s="19" t="s">
        <v>254</v>
      </c>
      <c r="C77" s="17">
        <v>165</v>
      </c>
      <c r="D77" s="17"/>
      <c r="E77" s="17">
        <v>600</v>
      </c>
      <c r="F77" s="17">
        <v>1</v>
      </c>
      <c r="G77" s="17">
        <f t="shared" si="10"/>
        <v>600</v>
      </c>
      <c r="H77" s="17">
        <v>600</v>
      </c>
      <c r="I77" s="17">
        <f t="shared" si="11"/>
        <v>0</v>
      </c>
      <c r="J77" s="18"/>
      <c r="K77" s="20" t="str">
        <f>CONCATENATE(Table2[[#This Row],[Specs]],Table2[[#This Row],[Width]],Table2[[#This Row],[Slitting]])</f>
        <v>y ユポ80 MDN 8GB165</v>
      </c>
    </row>
    <row r="78" spans="1:11">
      <c r="A78" s="15" t="s">
        <v>274</v>
      </c>
      <c r="B78" s="19" t="s">
        <v>254</v>
      </c>
      <c r="C78" s="17">
        <v>165</v>
      </c>
      <c r="D78" s="17"/>
      <c r="E78" s="17">
        <v>600</v>
      </c>
      <c r="F78" s="17">
        <v>1</v>
      </c>
      <c r="G78" s="17">
        <f t="shared" si="10"/>
        <v>600</v>
      </c>
      <c r="H78" s="17">
        <v>600</v>
      </c>
      <c r="I78" s="17">
        <f t="shared" si="11"/>
        <v>0</v>
      </c>
      <c r="J78" s="18"/>
      <c r="K78" s="20" t="str">
        <f>CONCATENATE(Table2[[#This Row],[Specs]],Table2[[#This Row],[Width]],Table2[[#This Row],[Slitting]])</f>
        <v>y ユポ80 MDN 8GB165</v>
      </c>
    </row>
    <row r="79" spans="1:11">
      <c r="A79" s="15" t="s">
        <v>197</v>
      </c>
      <c r="B79" s="18" t="s">
        <v>230</v>
      </c>
      <c r="C79" s="17">
        <v>100</v>
      </c>
      <c r="D79" s="17"/>
      <c r="E79" s="17">
        <v>400</v>
      </c>
      <c r="F79" s="17">
        <v>1</v>
      </c>
      <c r="G79" s="17">
        <f t="shared" si="10"/>
        <v>400</v>
      </c>
      <c r="H79" s="17">
        <v>380</v>
      </c>
      <c r="I79" s="17">
        <f t="shared" si="11"/>
        <v>20</v>
      </c>
      <c r="J79" s="18"/>
      <c r="K79" s="20" t="str">
        <f>CONCATENATE(Table2[[#This Row],[Specs]],Table2[[#This Row],[Width]],Table2[[#This Row],[Slitting]])</f>
        <v>ヤート&lt;73&gt;メモリー訂正 80H100</v>
      </c>
    </row>
    <row r="80" spans="1:11">
      <c r="A80" s="15" t="s">
        <v>278</v>
      </c>
      <c r="B80" s="18" t="s">
        <v>254</v>
      </c>
      <c r="C80" s="17">
        <v>125</v>
      </c>
      <c r="D80" s="17"/>
      <c r="E80" s="17">
        <v>600</v>
      </c>
      <c r="F80" s="17">
        <v>1</v>
      </c>
      <c r="G80" s="17">
        <f>F80*E80</f>
        <v>600</v>
      </c>
      <c r="H80" s="17"/>
      <c r="I80" s="17">
        <f>G80-H80</f>
        <v>600</v>
      </c>
      <c r="J80" s="18"/>
      <c r="K80" s="20" t="str">
        <f>CONCATENATE(Table2[[#This Row],[Specs]],Table2[[#This Row],[Width]],Table2[[#This Row],[Slitting]])</f>
        <v>y ユポ80 MDN 8GB125</v>
      </c>
    </row>
    <row r="81" spans="1:11">
      <c r="A81" s="15" t="s">
        <v>280</v>
      </c>
      <c r="B81" s="19" t="s">
        <v>281</v>
      </c>
      <c r="C81" s="17">
        <v>165</v>
      </c>
      <c r="D81" s="17"/>
      <c r="E81" s="17">
        <v>600</v>
      </c>
      <c r="F81" s="17">
        <v>1</v>
      </c>
      <c r="G81" s="17">
        <f>F81*E81</f>
        <v>600</v>
      </c>
      <c r="H81" s="17">
        <v>600</v>
      </c>
      <c r="I81" s="17">
        <f>G81-H81</f>
        <v>0</v>
      </c>
      <c r="J81" s="18"/>
      <c r="K81" s="20" t="str">
        <f>CONCATENATE(Table2[[#This Row],[Specs]],Table2[[#This Row],[Width]],Table2[[#This Row],[Slitting]])</f>
        <v>y ユポ80 MDN 8GB165</v>
      </c>
    </row>
    <row r="82" spans="1:11">
      <c r="A82" s="15" t="s">
        <v>280</v>
      </c>
      <c r="B82" s="19" t="s">
        <v>281</v>
      </c>
      <c r="C82" s="17">
        <v>165</v>
      </c>
      <c r="D82" s="17"/>
      <c r="E82" s="17">
        <v>600</v>
      </c>
      <c r="F82" s="17">
        <v>1</v>
      </c>
      <c r="G82" s="17">
        <f>F82*E82</f>
        <v>600</v>
      </c>
      <c r="H82" s="17">
        <v>600</v>
      </c>
      <c r="I82" s="17">
        <f>G82-H82</f>
        <v>0</v>
      </c>
      <c r="J82" s="18"/>
      <c r="K82" s="20" t="str">
        <f>CONCATENATE(Table2[[#This Row],[Specs]],Table2[[#This Row],[Width]],Table2[[#This Row],[Slitting]])</f>
        <v>y ユポ80 MDN 8GB165</v>
      </c>
    </row>
    <row r="83" spans="1:11">
      <c r="A83" s="47" t="s">
        <v>279</v>
      </c>
      <c r="B83" s="50" t="s">
        <v>254</v>
      </c>
      <c r="C83" s="48">
        <v>165</v>
      </c>
      <c r="D83" s="48"/>
      <c r="E83" s="48">
        <v>600</v>
      </c>
      <c r="F83" s="48">
        <v>1</v>
      </c>
      <c r="G83" s="17">
        <f t="shared" ref="G83:G85" si="12">F83*E83</f>
        <v>600</v>
      </c>
      <c r="H83" s="48">
        <v>600</v>
      </c>
      <c r="I83" s="17">
        <f t="shared" ref="I83:I85" si="13">G83-H83</f>
        <v>0</v>
      </c>
      <c r="J83" s="49"/>
      <c r="K83" s="20" t="str">
        <f>CONCATENATE(Table2[[#This Row],[Specs]],Table2[[#This Row],[Width]],Table2[[#This Row],[Slitting]])</f>
        <v>y ユポ80 MDN 8GB165</v>
      </c>
    </row>
    <row r="84" spans="1:11">
      <c r="A84" s="47" t="s">
        <v>279</v>
      </c>
      <c r="B84" s="54" t="s">
        <v>254</v>
      </c>
      <c r="C84" s="48">
        <v>140</v>
      </c>
      <c r="D84" s="48"/>
      <c r="E84" s="48">
        <v>600</v>
      </c>
      <c r="F84" s="48">
        <v>1</v>
      </c>
      <c r="G84" s="17">
        <f t="shared" si="12"/>
        <v>600</v>
      </c>
      <c r="H84" s="48">
        <v>560</v>
      </c>
      <c r="I84" s="17">
        <f t="shared" si="13"/>
        <v>40</v>
      </c>
      <c r="J84" s="49"/>
      <c r="K84" s="20" t="str">
        <f>CONCATENATE(Table2[[#This Row],[Specs]],Table2[[#This Row],[Width]],Table2[[#This Row],[Slitting]])</f>
        <v>y ユポ80 MDN 8GB140</v>
      </c>
    </row>
    <row r="85" spans="1:11">
      <c r="A85" s="15" t="s">
        <v>282</v>
      </c>
      <c r="B85" s="19" t="s">
        <v>283</v>
      </c>
      <c r="C85" s="17">
        <v>90</v>
      </c>
      <c r="D85" s="17"/>
      <c r="E85" s="17">
        <v>600</v>
      </c>
      <c r="F85" s="17">
        <v>1</v>
      </c>
      <c r="G85" s="17">
        <f t="shared" si="12"/>
        <v>600</v>
      </c>
      <c r="H85" s="17">
        <v>600</v>
      </c>
      <c r="I85" s="17">
        <f t="shared" si="13"/>
        <v>0</v>
      </c>
      <c r="J85" s="18"/>
      <c r="K85" s="20" t="str">
        <f>CONCATENATE(Table2[[#This Row],[Specs]],Table2[[#This Row],[Width]],Table2[[#This Row],[Slitting]])</f>
        <v>Nキャスト&lt;73&gt;ME80E90</v>
      </c>
    </row>
    <row r="86" spans="1:11">
      <c r="A86" s="15"/>
      <c r="B86" s="16"/>
      <c r="C86" s="17"/>
      <c r="D86" s="17"/>
      <c r="E86" s="17"/>
      <c r="F86" s="17"/>
      <c r="G86" s="17">
        <f>F86*E86</f>
        <v>0</v>
      </c>
      <c r="H86" s="17"/>
      <c r="I86" s="17">
        <f>G86-H86</f>
        <v>0</v>
      </c>
      <c r="J86" s="18"/>
      <c r="K86" s="20" t="str">
        <f>CONCATENATE(Table2[[#This Row],[Specs]],Table2[[#This Row],[Width]],Table2[[#This Row],[Slitting]])</f>
        <v/>
      </c>
    </row>
  </sheetData>
  <mergeCells count="2">
    <mergeCell ref="I3:J3"/>
    <mergeCell ref="I2:J2"/>
  </mergeCells>
  <phoneticPr fontId="3"/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PivotCreating">
                <anchor moveWithCells="1" sizeWithCells="1">
                  <from>
                    <xdr:col>3</xdr:col>
                    <xdr:colOff>0</xdr:colOff>
                    <xdr:row>0</xdr:row>
                    <xdr:rowOff>292100</xdr:rowOff>
                  </from>
                  <to>
                    <xdr:col>5</xdr:col>
                    <xdr:colOff>266700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I239"/>
  <sheetViews>
    <sheetView topLeftCell="B1" zoomScaleNormal="100" workbookViewId="0">
      <pane ySplit="5" topLeftCell="A6" activePane="bottomLeft" state="frozen"/>
      <selection pane="bottomLeft" activeCell="F4" sqref="F4"/>
    </sheetView>
  </sheetViews>
  <sheetFormatPr baseColWidth="10" defaultColWidth="9.19921875" defaultRowHeight="22"/>
  <cols>
    <col min="1" max="1" width="11" style="9" hidden="1" customWidth="1"/>
    <col min="2" max="2" width="5.3984375" style="9" bestFit="1" customWidth="1"/>
    <col min="3" max="3" width="10.19921875" style="9" bestFit="1" customWidth="1"/>
    <col min="4" max="4" width="27.3984375" style="9" bestFit="1" customWidth="1"/>
    <col min="5" max="5" width="13.3984375" style="9" bestFit="1" customWidth="1"/>
    <col min="6" max="6" width="13.296875" style="9" bestFit="1" customWidth="1"/>
    <col min="7" max="7" width="0" hidden="1" customWidth="1"/>
    <col min="8" max="8" width="9.3984375" style="9" hidden="1" customWidth="1"/>
    <col min="9" max="9" width="27.296875" style="9" hidden="1" customWidth="1"/>
    <col min="10" max="10" width="35.09765625" style="9" bestFit="1" customWidth="1"/>
    <col min="11" max="11" width="36.09765625" style="9" customWidth="1"/>
    <col min="12" max="23" width="10.3984375" style="9" customWidth="1"/>
    <col min="24" max="16384" width="9.19921875" style="9"/>
  </cols>
  <sheetData>
    <row r="1" spans="1:9" ht="9" customHeight="1">
      <c r="G1" s="9"/>
    </row>
    <row r="2" spans="1:9">
      <c r="B2" s="30"/>
      <c r="C2" s="31"/>
      <c r="D2" s="11" t="s">
        <v>204</v>
      </c>
      <c r="F2" s="32" t="s">
        <v>256</v>
      </c>
      <c r="G2" s="9"/>
      <c r="H2" s="22"/>
      <c r="I2" s="14"/>
    </row>
    <row r="3" spans="1:9" ht="20">
      <c r="A3" s="22"/>
      <c r="B3" s="22"/>
      <c r="C3" s="22"/>
      <c r="D3" s="22"/>
      <c r="F3" s="34">
        <f>LastSavedTimeStamp()</f>
        <v>44103.581793981481</v>
      </c>
      <c r="G3" s="22"/>
      <c r="H3" s="22"/>
      <c r="I3" s="14"/>
    </row>
    <row r="4" spans="1:9" ht="8" customHeight="1">
      <c r="A4" s="22"/>
      <c r="B4" s="22"/>
      <c r="C4" s="22"/>
      <c r="D4" s="22"/>
      <c r="E4" s="29"/>
      <c r="F4" s="22"/>
      <c r="G4" s="22"/>
      <c r="H4" s="22"/>
      <c r="I4" s="14"/>
    </row>
    <row r="5" spans="1:9" ht="20">
      <c r="A5" s="22" t="s">
        <v>16</v>
      </c>
      <c r="B5" s="22" t="s">
        <v>17</v>
      </c>
      <c r="C5" s="22" t="s">
        <v>193</v>
      </c>
      <c r="D5" s="22" t="s">
        <v>18</v>
      </c>
      <c r="E5" s="22" t="s">
        <v>20</v>
      </c>
      <c r="F5" s="22" t="s">
        <v>19</v>
      </c>
      <c r="G5" s="22" t="s">
        <v>196</v>
      </c>
      <c r="H5" s="22" t="s">
        <v>203</v>
      </c>
      <c r="I5" s="14"/>
    </row>
    <row r="6" spans="1:9" ht="20">
      <c r="A6" s="24"/>
      <c r="B6" s="22" t="s">
        <v>22</v>
      </c>
      <c r="C6" s="22">
        <v>3101</v>
      </c>
      <c r="D6" s="22" t="s">
        <v>23</v>
      </c>
      <c r="E6" s="22"/>
      <c r="F6" s="25">
        <v>43759</v>
      </c>
      <c r="G6" s="22"/>
      <c r="H6" s="22" t="str">
        <f>CONCATENATE(Table1[[#This Row],[Order Code]],Table1[[#This Row],[NAME]])</f>
        <v>3101石油ソープ　D2628 赤</v>
      </c>
    </row>
    <row r="7" spans="1:9" ht="20">
      <c r="A7" s="24">
        <v>3</v>
      </c>
      <c r="B7" s="22" t="s">
        <v>22</v>
      </c>
      <c r="C7" s="22">
        <v>3101</v>
      </c>
      <c r="D7" s="22" t="s">
        <v>24</v>
      </c>
      <c r="E7" s="22"/>
      <c r="F7" s="25">
        <v>43704</v>
      </c>
      <c r="G7" s="22">
        <v>1</v>
      </c>
      <c r="H7" s="22" t="str">
        <f>CONCATENATE(Table1[[#This Row],[Order Code]],Table1[[#This Row],[NAME]])</f>
        <v>3101前田工繊ペーブ金赤</v>
      </c>
    </row>
    <row r="8" spans="1:9" ht="20">
      <c r="A8" s="24">
        <v>4</v>
      </c>
      <c r="B8" s="22" t="s">
        <v>22</v>
      </c>
      <c r="C8" s="22">
        <v>3101</v>
      </c>
      <c r="D8" s="22" t="s">
        <v>25</v>
      </c>
      <c r="E8" s="22"/>
      <c r="F8" s="25">
        <v>43847</v>
      </c>
      <c r="G8" s="22">
        <v>1</v>
      </c>
      <c r="H8" s="22" t="str">
        <f>CONCATENATE(Table1[[#This Row],[Order Code]],Table1[[#This Row],[NAME]])</f>
        <v>3101エコスマイル　W 赤</v>
      </c>
    </row>
    <row r="9" spans="1:9" ht="20">
      <c r="A9" s="24">
        <v>5</v>
      </c>
      <c r="B9" s="22" t="s">
        <v>22</v>
      </c>
      <c r="C9" s="22">
        <v>391</v>
      </c>
      <c r="D9" s="22" t="s">
        <v>26</v>
      </c>
      <c r="E9" s="22"/>
      <c r="F9" s="25">
        <v>43712</v>
      </c>
      <c r="G9" s="22">
        <v>1</v>
      </c>
      <c r="H9" s="22" t="str">
        <f>CONCATENATE(Table1[[#This Row],[Order Code]],Table1[[#This Row],[NAME]])</f>
        <v>391ユタカ金赤</v>
      </c>
    </row>
    <row r="10" spans="1:9" ht="20">
      <c r="A10" s="24">
        <v>6</v>
      </c>
      <c r="B10" s="22" t="s">
        <v>22</v>
      </c>
      <c r="C10" s="22">
        <v>391</v>
      </c>
      <c r="D10" s="22" t="s">
        <v>27</v>
      </c>
      <c r="E10" s="22"/>
      <c r="F10" s="25">
        <v>43720</v>
      </c>
      <c r="G10" s="22">
        <v>1</v>
      </c>
      <c r="H10" s="22" t="str">
        <f>CONCATENATE(Table1[[#This Row],[Order Code]],Table1[[#This Row],[NAME]])</f>
        <v>391D285 赤</v>
      </c>
    </row>
    <row r="11" spans="1:9" ht="20">
      <c r="A11" s="24">
        <v>7</v>
      </c>
      <c r="B11" s="22" t="s">
        <v>22</v>
      </c>
      <c r="C11" s="22">
        <v>391</v>
      </c>
      <c r="D11" s="22" t="s">
        <v>28</v>
      </c>
      <c r="E11" s="22"/>
      <c r="F11" s="25">
        <v>43605</v>
      </c>
      <c r="G11" s="22">
        <v>1</v>
      </c>
      <c r="H11" s="22" t="str">
        <f>CONCATENATE(Table1[[#This Row],[Order Code]],Table1[[#This Row],[NAME]])</f>
        <v>391ロイヤルソフター　赤</v>
      </c>
    </row>
    <row r="12" spans="1:9" ht="20">
      <c r="A12" s="24">
        <v>8</v>
      </c>
      <c r="B12" s="22" t="s">
        <v>22</v>
      </c>
      <c r="C12" s="22">
        <v>371</v>
      </c>
      <c r="D12" s="22" t="s">
        <v>195</v>
      </c>
      <c r="E12" s="22"/>
      <c r="F12" s="25">
        <v>43307</v>
      </c>
      <c r="G12" s="22">
        <v>1</v>
      </c>
      <c r="H12" s="22" t="str">
        <f>CONCATENATE(Table1[[#This Row],[Order Code]],Table1[[#This Row],[NAME]])</f>
        <v>371D-3 淡ピンク</v>
      </c>
    </row>
    <row r="13" spans="1:9" ht="20">
      <c r="A13" s="24">
        <v>9</v>
      </c>
      <c r="B13" s="22" t="s">
        <v>22</v>
      </c>
      <c r="C13" s="22">
        <v>341</v>
      </c>
      <c r="D13" s="22" t="s">
        <v>29</v>
      </c>
      <c r="E13" s="22"/>
      <c r="F13" s="25">
        <v>43759</v>
      </c>
      <c r="G13" s="22">
        <v>1</v>
      </c>
      <c r="H13" s="22" t="str">
        <f>CONCATENATE(Table1[[#This Row],[Order Code]],Table1[[#This Row],[NAME]])</f>
        <v>341D-49 濃ピンク</v>
      </c>
    </row>
    <row r="14" spans="1:9" ht="20">
      <c r="A14" s="24">
        <v>10</v>
      </c>
      <c r="B14" s="22" t="s">
        <v>22</v>
      </c>
      <c r="C14" s="22">
        <v>351</v>
      </c>
      <c r="D14" s="22" t="s">
        <v>30</v>
      </c>
      <c r="E14" s="22"/>
      <c r="F14" s="25">
        <v>43699</v>
      </c>
      <c r="G14" s="22">
        <v>1</v>
      </c>
      <c r="H14" s="22" t="str">
        <f>CONCATENATE(Table1[[#This Row],[Order Code]],Table1[[#This Row],[NAME]])</f>
        <v>351D-276 ピンク</v>
      </c>
    </row>
    <row r="15" spans="1:9" ht="20">
      <c r="A15" s="24">
        <v>11</v>
      </c>
      <c r="B15" s="22" t="s">
        <v>22</v>
      </c>
      <c r="C15" s="22">
        <v>361</v>
      </c>
      <c r="D15" s="22" t="s">
        <v>31</v>
      </c>
      <c r="E15" s="22"/>
      <c r="F15" s="25">
        <v>42985</v>
      </c>
      <c r="G15" s="22"/>
      <c r="H15" s="22" t="str">
        <f>CONCATENATE(Table1[[#This Row],[Order Code]],Table1[[#This Row],[NAME]])</f>
        <v>361D24 ピンク</v>
      </c>
    </row>
    <row r="16" spans="1:9" ht="20">
      <c r="A16" s="24">
        <v>12</v>
      </c>
      <c r="B16" s="22" t="s">
        <v>22</v>
      </c>
      <c r="C16" s="22">
        <v>371</v>
      </c>
      <c r="D16" s="22" t="s">
        <v>32</v>
      </c>
      <c r="E16" s="22"/>
      <c r="F16" s="25">
        <v>42663</v>
      </c>
      <c r="G16" s="22"/>
      <c r="H16" s="22" t="str">
        <f>CONCATENATE(Table1[[#This Row],[Order Code]],Table1[[#This Row],[NAME]])</f>
        <v>371D-77 ピンク（コート）</v>
      </c>
    </row>
    <row r="17" spans="1:8" ht="20">
      <c r="A17" s="24">
        <v>13</v>
      </c>
      <c r="B17" s="22" t="s">
        <v>22</v>
      </c>
      <c r="C17" s="22">
        <v>381</v>
      </c>
      <c r="D17" s="22" t="s">
        <v>33</v>
      </c>
      <c r="E17" s="22"/>
      <c r="F17" s="25">
        <v>42671</v>
      </c>
      <c r="G17" s="22"/>
      <c r="H17" s="22" t="str">
        <f>CONCATENATE(Table1[[#This Row],[Order Code]],Table1[[#This Row],[NAME]])</f>
        <v>381D-499 エンジ（コート）</v>
      </c>
    </row>
    <row r="18" spans="1:8" ht="20">
      <c r="A18" s="24">
        <v>14</v>
      </c>
      <c r="B18" s="22" t="s">
        <v>22</v>
      </c>
      <c r="C18" s="22">
        <v>361</v>
      </c>
      <c r="D18" s="22" t="s">
        <v>34</v>
      </c>
      <c r="E18" s="22"/>
      <c r="F18" s="25">
        <v>43081</v>
      </c>
      <c r="G18" s="22"/>
      <c r="H18" s="22" t="str">
        <f>CONCATENATE(Table1[[#This Row],[Order Code]],Table1[[#This Row],[NAME]])</f>
        <v>361D-2237 ピンク（コート）</v>
      </c>
    </row>
    <row r="19" spans="1:8" ht="20">
      <c r="A19" s="24">
        <v>15</v>
      </c>
      <c r="B19" s="22" t="s">
        <v>22</v>
      </c>
      <c r="C19" s="22">
        <v>361</v>
      </c>
      <c r="D19" s="22" t="s">
        <v>35</v>
      </c>
      <c r="E19" s="22"/>
      <c r="F19" s="22" t="s">
        <v>58</v>
      </c>
      <c r="G19" s="22"/>
      <c r="H19" s="22" t="str">
        <f>CONCATENATE(Table1[[#This Row],[Order Code]],Table1[[#This Row],[NAME]])</f>
        <v>361D49 ピンク</v>
      </c>
    </row>
    <row r="20" spans="1:8" ht="20">
      <c r="A20" s="24">
        <v>16</v>
      </c>
      <c r="B20" s="22" t="s">
        <v>22</v>
      </c>
      <c r="C20" s="22">
        <v>341</v>
      </c>
      <c r="D20" s="22" t="s">
        <v>36</v>
      </c>
      <c r="E20" s="22"/>
      <c r="F20" s="25">
        <v>43804</v>
      </c>
      <c r="G20" s="22">
        <v>1</v>
      </c>
      <c r="H20" s="22" t="str">
        <f>CONCATENATE(Table1[[#This Row],[Order Code]],Table1[[#This Row],[NAME]])</f>
        <v>341エストラル　AD19 桃</v>
      </c>
    </row>
    <row r="21" spans="1:8" ht="20">
      <c r="A21" s="24">
        <v>17</v>
      </c>
      <c r="B21" s="22" t="s">
        <v>22</v>
      </c>
      <c r="C21" s="22">
        <v>371</v>
      </c>
      <c r="D21" s="22" t="s">
        <v>37</v>
      </c>
      <c r="E21" s="22"/>
      <c r="F21" s="25">
        <v>43815</v>
      </c>
      <c r="G21" s="22">
        <v>1</v>
      </c>
      <c r="H21" s="22" t="str">
        <f>CONCATENATE(Table1[[#This Row],[Order Code]],Table1[[#This Row],[NAME]])</f>
        <v>371ネオアーシュ　ピンク</v>
      </c>
    </row>
    <row r="22" spans="1:8" ht="20">
      <c r="A22" s="24">
        <v>18</v>
      </c>
      <c r="B22" s="22" t="s">
        <v>22</v>
      </c>
      <c r="C22" s="22">
        <v>351</v>
      </c>
      <c r="D22" s="22" t="s">
        <v>38</v>
      </c>
      <c r="E22" s="22"/>
      <c r="F22" s="25">
        <v>43577</v>
      </c>
      <c r="G22" s="22"/>
      <c r="H22" s="22" t="str">
        <f>CONCATENATE(Table1[[#This Row],[Order Code]],Table1[[#This Row],[NAME]])</f>
        <v>351カイトウイン　ピンク</v>
      </c>
    </row>
    <row r="23" spans="1:8" ht="20">
      <c r="A23" s="24">
        <v>19</v>
      </c>
      <c r="B23" s="22" t="s">
        <v>22</v>
      </c>
      <c r="C23" s="22">
        <v>341</v>
      </c>
      <c r="D23" s="22" t="s">
        <v>36</v>
      </c>
      <c r="E23" s="22"/>
      <c r="F23" s="25">
        <v>43621</v>
      </c>
      <c r="G23" s="22">
        <v>1</v>
      </c>
      <c r="H23" s="22" t="str">
        <f>CONCATENATE(Table1[[#This Row],[Order Code]],Table1[[#This Row],[NAME]])</f>
        <v>341エストラル　AD19 桃</v>
      </c>
    </row>
    <row r="24" spans="1:8" ht="20">
      <c r="A24" s="24">
        <v>20</v>
      </c>
      <c r="B24" s="22" t="s">
        <v>22</v>
      </c>
      <c r="C24" s="22">
        <v>331</v>
      </c>
      <c r="D24" s="22" t="s">
        <v>39</v>
      </c>
      <c r="E24" s="22"/>
      <c r="F24" s="25">
        <v>43796</v>
      </c>
      <c r="G24" s="22">
        <v>1</v>
      </c>
      <c r="H24" s="22" t="str">
        <f>CONCATENATE(Table1[[#This Row],[Order Code]],Table1[[#This Row],[NAME]])</f>
        <v>331アスティーオン　オレンジ</v>
      </c>
    </row>
    <row r="25" spans="1:8" ht="20">
      <c r="A25" s="24">
        <v>21</v>
      </c>
      <c r="B25" s="22" t="s">
        <v>22</v>
      </c>
      <c r="C25" s="22">
        <v>331</v>
      </c>
      <c r="D25" s="22" t="s">
        <v>40</v>
      </c>
      <c r="E25" s="22"/>
      <c r="F25" s="25">
        <v>42662</v>
      </c>
      <c r="G25" s="22">
        <v>1</v>
      </c>
      <c r="H25" s="22" t="str">
        <f>CONCATENATE(Table1[[#This Row],[Order Code]],Table1[[#This Row],[NAME]])</f>
        <v>331D82 オレンジ</v>
      </c>
    </row>
    <row r="26" spans="1:8" ht="20">
      <c r="A26" s="24">
        <v>22</v>
      </c>
      <c r="B26" s="22" t="s">
        <v>22</v>
      </c>
      <c r="C26" s="22">
        <v>331</v>
      </c>
      <c r="D26" s="22" t="s">
        <v>41</v>
      </c>
      <c r="E26" s="22"/>
      <c r="F26" s="25">
        <v>43805</v>
      </c>
      <c r="G26" s="22">
        <v>1</v>
      </c>
      <c r="H26" s="22" t="str">
        <f>CONCATENATE(Table1[[#This Row],[Order Code]],Table1[[#This Row],[NAME]])</f>
        <v>331リフレシア　BW20 オレンジ</v>
      </c>
    </row>
    <row r="27" spans="1:8" ht="20">
      <c r="A27" s="24">
        <v>23</v>
      </c>
      <c r="B27" s="22" t="s">
        <v>22</v>
      </c>
      <c r="C27" s="22">
        <v>321</v>
      </c>
      <c r="D27" s="22" t="s">
        <v>42</v>
      </c>
      <c r="E27" s="22"/>
      <c r="F27" s="25">
        <v>43510</v>
      </c>
      <c r="G27" s="22">
        <v>1</v>
      </c>
      <c r="H27" s="22" t="str">
        <f>CONCATENATE(Table1[[#This Row],[Order Code]],Table1[[#This Row],[NAME]])</f>
        <v>321エコスマイル　S オレンジ</v>
      </c>
    </row>
    <row r="28" spans="1:8" ht="20">
      <c r="A28" s="24">
        <v>24</v>
      </c>
      <c r="B28" s="22" t="s">
        <v>22</v>
      </c>
      <c r="C28" s="22">
        <v>321</v>
      </c>
      <c r="D28" s="22" t="s">
        <v>43</v>
      </c>
      <c r="E28" s="22"/>
      <c r="F28" s="25">
        <v>43612</v>
      </c>
      <c r="G28" s="22"/>
      <c r="H28" s="22" t="str">
        <f>CONCATENATE(Table1[[#This Row],[Order Code]],Table1[[#This Row],[NAME]])</f>
        <v>321メディカール　AKDX オレンジ</v>
      </c>
    </row>
    <row r="29" spans="1:8" ht="20">
      <c r="A29" s="24">
        <v>25</v>
      </c>
      <c r="B29" s="22" t="s">
        <v>22</v>
      </c>
      <c r="C29" s="22">
        <v>321</v>
      </c>
      <c r="D29" s="22" t="s">
        <v>44</v>
      </c>
      <c r="E29" s="22"/>
      <c r="F29" s="25">
        <v>43742</v>
      </c>
      <c r="G29" s="22">
        <v>1</v>
      </c>
      <c r="H29" s="22" t="str">
        <f>CONCATENATE(Table1[[#This Row],[Order Code]],Table1[[#This Row],[NAME]])</f>
        <v>321シャープ　洗浄剤　ラベル　オレンジ</v>
      </c>
    </row>
    <row r="30" spans="1:8" ht="20">
      <c r="A30" s="24">
        <v>26</v>
      </c>
      <c r="B30" s="22" t="s">
        <v>22</v>
      </c>
      <c r="C30" s="22">
        <v>311</v>
      </c>
      <c r="D30" s="22" t="s">
        <v>265</v>
      </c>
      <c r="E30" s="22"/>
      <c r="F30" s="25">
        <v>43616</v>
      </c>
      <c r="G30" s="22"/>
      <c r="H30" s="22" t="str">
        <f>CONCATENATE(Table1[[#This Row],[Order Code]],Table1[[#This Row],[NAME]])</f>
        <v>311DIC83 ドライバリガードオレンジ</v>
      </c>
    </row>
    <row r="31" spans="1:8" ht="20">
      <c r="A31" s="24">
        <v>27</v>
      </c>
      <c r="B31" s="22" t="s">
        <v>22</v>
      </c>
      <c r="C31" s="22">
        <v>311</v>
      </c>
      <c r="D31" s="22" t="s">
        <v>46</v>
      </c>
      <c r="E31" s="22"/>
      <c r="F31" s="25">
        <v>43837</v>
      </c>
      <c r="G31" s="22" t="s">
        <v>47</v>
      </c>
      <c r="H31" s="22" t="str">
        <f>CONCATENATE(Table1[[#This Row],[Order Code]],Table1[[#This Row],[NAME]])</f>
        <v>311ソイレスUN オレンジ</v>
      </c>
    </row>
    <row r="32" spans="1:8" ht="20">
      <c r="A32" s="24">
        <v>28</v>
      </c>
      <c r="B32" s="22" t="s">
        <v>22</v>
      </c>
      <c r="C32" s="22">
        <v>311</v>
      </c>
      <c r="D32" s="22" t="s">
        <v>48</v>
      </c>
      <c r="E32" s="22"/>
      <c r="F32" s="25">
        <v>43746</v>
      </c>
      <c r="G32" s="22">
        <v>1</v>
      </c>
      <c r="H32" s="22" t="str">
        <f>CONCATENATE(Table1[[#This Row],[Order Code]],Table1[[#This Row],[NAME]])</f>
        <v>311かきもち　オレンジ</v>
      </c>
    </row>
    <row r="33" spans="1:8" ht="20">
      <c r="A33" s="24">
        <v>29</v>
      </c>
      <c r="B33" s="22" t="s">
        <v>22</v>
      </c>
      <c r="C33" s="22">
        <v>301</v>
      </c>
      <c r="D33" s="22" t="s">
        <v>49</v>
      </c>
      <c r="E33" s="22">
        <v>9</v>
      </c>
      <c r="F33" s="25">
        <v>43899</v>
      </c>
      <c r="G33" s="22">
        <v>1</v>
      </c>
      <c r="H33" s="22" t="str">
        <f>CONCATENATE(Table1[[#This Row],[Order Code]],Table1[[#This Row],[NAME]])</f>
        <v>301ユタカ防災　オレンジ</v>
      </c>
    </row>
    <row r="34" spans="1:8" ht="20">
      <c r="A34" s="24">
        <v>30</v>
      </c>
      <c r="B34" s="22" t="s">
        <v>22</v>
      </c>
      <c r="C34" s="22">
        <v>302</v>
      </c>
      <c r="D34" s="22" t="s">
        <v>50</v>
      </c>
      <c r="E34" s="22"/>
      <c r="F34" s="25">
        <v>43518</v>
      </c>
      <c r="G34" s="22"/>
      <c r="H34" s="22" t="str">
        <f>CONCATENATE(Table1[[#This Row],[Order Code]],Table1[[#This Row],[NAME]])</f>
        <v>302シャープ 洗浄剤　ラベル　オレンジ</v>
      </c>
    </row>
    <row r="35" spans="1:8" ht="20">
      <c r="A35" s="24">
        <v>31</v>
      </c>
      <c r="B35" s="22" t="s">
        <v>22</v>
      </c>
      <c r="C35" s="22">
        <v>301</v>
      </c>
      <c r="D35" s="22" t="s">
        <v>51</v>
      </c>
      <c r="E35" s="22"/>
      <c r="F35" s="25">
        <v>43761</v>
      </c>
      <c r="G35" s="22">
        <v>1</v>
      </c>
      <c r="H35" s="22" t="str">
        <f>CONCATENATE(Table1[[#This Row],[Order Code]],Table1[[#This Row],[NAME]])</f>
        <v>301エストラルOB02 オレンジ</v>
      </c>
    </row>
    <row r="36" spans="1:8" ht="20">
      <c r="A36" s="24">
        <v>33</v>
      </c>
      <c r="B36" s="22" t="s">
        <v>52</v>
      </c>
      <c r="C36" s="22">
        <v>291</v>
      </c>
      <c r="D36" s="22" t="s">
        <v>53</v>
      </c>
      <c r="E36" s="22">
        <v>9</v>
      </c>
      <c r="F36" s="25">
        <v>42667</v>
      </c>
      <c r="G36" s="22"/>
      <c r="H36" s="22" t="str">
        <f>CONCATENATE(Table1[[#This Row],[Order Code]],Table1[[#This Row],[NAME]])</f>
        <v>291耐減感出口様用　紺藍</v>
      </c>
    </row>
    <row r="37" spans="1:8" ht="20">
      <c r="A37" s="24">
        <v>34</v>
      </c>
      <c r="B37" s="22" t="s">
        <v>52</v>
      </c>
      <c r="C37" s="22">
        <v>121</v>
      </c>
      <c r="D37" s="22" t="s">
        <v>53</v>
      </c>
      <c r="E37" s="22">
        <v>10</v>
      </c>
      <c r="F37" s="25">
        <v>42667</v>
      </c>
      <c r="G37" s="22"/>
      <c r="H37" s="22" t="str">
        <f>CONCATENATE(Table1[[#This Row],[Order Code]],Table1[[#This Row],[NAME]])</f>
        <v>121耐減感出口様用　紺藍</v>
      </c>
    </row>
    <row r="38" spans="1:8" ht="20">
      <c r="A38" s="24">
        <v>35</v>
      </c>
      <c r="B38" s="22" t="s">
        <v>52</v>
      </c>
      <c r="C38" s="22">
        <v>171</v>
      </c>
      <c r="D38" s="22" t="s">
        <v>53</v>
      </c>
      <c r="E38" s="22">
        <v>10</v>
      </c>
      <c r="F38" s="25">
        <v>42667</v>
      </c>
      <c r="G38" s="22"/>
      <c r="H38" s="22" t="str">
        <f>CONCATENATE(Table1[[#This Row],[Order Code]],Table1[[#This Row],[NAME]])</f>
        <v>171耐減感出口様用　紺藍</v>
      </c>
    </row>
    <row r="39" spans="1:8" ht="20">
      <c r="A39" s="24">
        <v>36</v>
      </c>
      <c r="B39" s="22" t="s">
        <v>52</v>
      </c>
      <c r="C39" s="22">
        <v>161</v>
      </c>
      <c r="D39" s="22" t="s">
        <v>54</v>
      </c>
      <c r="E39" s="22">
        <v>10</v>
      </c>
      <c r="F39" s="25">
        <v>42740</v>
      </c>
      <c r="G39" s="22"/>
      <c r="H39" s="22" t="str">
        <f>CONCATENATE(Table1[[#This Row],[Order Code]],Table1[[#This Row],[NAME]])</f>
        <v>161耐減感出口様用　11 濃緑</v>
      </c>
    </row>
    <row r="40" spans="1:8" ht="20">
      <c r="A40" s="24">
        <v>37</v>
      </c>
      <c r="B40" s="22" t="s">
        <v>52</v>
      </c>
      <c r="C40" s="22">
        <v>171</v>
      </c>
      <c r="D40" s="22" t="s">
        <v>54</v>
      </c>
      <c r="E40" s="22">
        <v>10</v>
      </c>
      <c r="F40" s="25">
        <v>42740</v>
      </c>
      <c r="G40" s="22"/>
      <c r="H40" s="22" t="str">
        <f>CONCATENATE(Table1[[#This Row],[Order Code]],Table1[[#This Row],[NAME]])</f>
        <v>171耐減感出口様用　11 濃緑</v>
      </c>
    </row>
    <row r="41" spans="1:8" ht="20">
      <c r="A41" s="24">
        <v>38</v>
      </c>
      <c r="B41" s="22" t="s">
        <v>52</v>
      </c>
      <c r="C41" s="22">
        <v>181</v>
      </c>
      <c r="D41" s="22" t="s">
        <v>55</v>
      </c>
      <c r="E41" s="22">
        <v>10</v>
      </c>
      <c r="F41" s="25">
        <v>42516</v>
      </c>
      <c r="G41" s="22"/>
      <c r="H41" s="22" t="str">
        <f>CONCATENATE(Table1[[#This Row],[Order Code]],Table1[[#This Row],[NAME]])</f>
        <v>181耐減感出口様用　牡丹</v>
      </c>
    </row>
    <row r="42" spans="1:8" ht="20">
      <c r="A42" s="24">
        <v>39</v>
      </c>
      <c r="B42" s="22" t="s">
        <v>22</v>
      </c>
      <c r="C42" s="22">
        <v>251</v>
      </c>
      <c r="D42" s="22" t="s">
        <v>56</v>
      </c>
      <c r="E42" s="22">
        <v>3</v>
      </c>
      <c r="F42" s="25">
        <v>43742</v>
      </c>
      <c r="G42" s="22"/>
      <c r="H42" s="22" t="str">
        <f>CONCATENATE(Table1[[#This Row],[Order Code]],Table1[[#This Row],[NAME]])</f>
        <v>251D-181 青</v>
      </c>
    </row>
    <row r="43" spans="1:8" ht="20">
      <c r="A43" s="24">
        <v>40</v>
      </c>
      <c r="B43" s="22" t="s">
        <v>22</v>
      </c>
      <c r="C43" s="22">
        <v>281</v>
      </c>
      <c r="D43" s="22" t="s">
        <v>57</v>
      </c>
      <c r="E43" s="22">
        <v>8</v>
      </c>
      <c r="F43" s="25">
        <v>43634</v>
      </c>
      <c r="G43" s="22"/>
      <c r="H43" s="22" t="str">
        <f>CONCATENATE(Table1[[#This Row],[Order Code]],Table1[[#This Row],[NAME]])</f>
        <v>281白洋舎モップオイルH10 青</v>
      </c>
    </row>
    <row r="44" spans="1:8" ht="20">
      <c r="A44" s="24">
        <v>41</v>
      </c>
      <c r="B44" s="22" t="s">
        <v>22</v>
      </c>
      <c r="C44" s="22">
        <v>281</v>
      </c>
      <c r="D44" s="22" t="s">
        <v>56</v>
      </c>
      <c r="E44" s="22">
        <v>2</v>
      </c>
      <c r="F44" s="22" t="s">
        <v>58</v>
      </c>
      <c r="G44" s="22"/>
      <c r="H44" s="22" t="str">
        <f>CONCATENATE(Table1[[#This Row],[Order Code]],Table1[[#This Row],[NAME]])</f>
        <v>281D-181 青</v>
      </c>
    </row>
    <row r="45" spans="1:8" ht="20">
      <c r="A45" s="24">
        <v>42</v>
      </c>
      <c r="B45" s="22" t="s">
        <v>22</v>
      </c>
      <c r="C45" s="22">
        <v>271</v>
      </c>
      <c r="D45" s="22" t="s">
        <v>59</v>
      </c>
      <c r="E45" s="22">
        <v>8</v>
      </c>
      <c r="F45" s="25">
        <v>43782</v>
      </c>
      <c r="G45" s="22"/>
      <c r="H45" s="22" t="str">
        <f>CONCATENATE(Table1[[#This Row],[Order Code]],Table1[[#This Row],[NAME]])</f>
        <v>271D-182 青</v>
      </c>
    </row>
    <row r="46" spans="1:8" ht="20">
      <c r="A46" s="24">
        <v>43</v>
      </c>
      <c r="B46" s="22" t="s">
        <v>22</v>
      </c>
      <c r="C46" s="22">
        <v>271</v>
      </c>
      <c r="D46" s="22" t="s">
        <v>60</v>
      </c>
      <c r="E46" s="22">
        <v>9</v>
      </c>
      <c r="F46" s="25">
        <v>43782</v>
      </c>
      <c r="G46" s="22"/>
      <c r="H46" s="22" t="str">
        <f>CONCATENATE(Table1[[#This Row],[Order Code]],Table1[[#This Row],[NAME]])</f>
        <v>271D-99 濃青</v>
      </c>
    </row>
    <row r="47" spans="1:8" ht="20">
      <c r="A47" s="24">
        <v>44</v>
      </c>
      <c r="B47" s="22" t="s">
        <v>22</v>
      </c>
      <c r="C47" s="22">
        <v>271</v>
      </c>
      <c r="D47" s="22" t="s">
        <v>61</v>
      </c>
      <c r="E47" s="22">
        <v>5</v>
      </c>
      <c r="F47" s="25">
        <v>43719</v>
      </c>
      <c r="G47" s="22"/>
      <c r="H47" s="22" t="str">
        <f>CONCATENATE(Table1[[#This Row],[Order Code]],Table1[[#This Row],[NAME]])</f>
        <v>271D-180 青</v>
      </c>
    </row>
    <row r="48" spans="1:8" ht="20">
      <c r="A48" s="24">
        <v>45</v>
      </c>
      <c r="B48" s="22" t="s">
        <v>22</v>
      </c>
      <c r="C48" s="22">
        <v>261</v>
      </c>
      <c r="D48" s="22" t="s">
        <v>62</v>
      </c>
      <c r="E48" s="22">
        <v>6</v>
      </c>
      <c r="F48" s="25">
        <v>42713</v>
      </c>
      <c r="G48" s="22"/>
      <c r="H48" s="22" t="str">
        <f>CONCATENATE(Table1[[#This Row],[Order Code]],Table1[[#This Row],[NAME]])</f>
        <v>261D-2166 青(コート)</v>
      </c>
    </row>
    <row r="49" spans="1:8" ht="20">
      <c r="A49" s="24">
        <v>46</v>
      </c>
      <c r="B49" s="22" t="s">
        <v>22</v>
      </c>
      <c r="C49" s="22">
        <v>261</v>
      </c>
      <c r="D49" s="22" t="s">
        <v>63</v>
      </c>
      <c r="E49" s="22">
        <v>4</v>
      </c>
      <c r="F49" s="25">
        <v>43602</v>
      </c>
      <c r="G49" s="22"/>
      <c r="H49" s="22" t="str">
        <f>CONCATENATE(Table1[[#This Row],[Order Code]],Table1[[#This Row],[NAME]])</f>
        <v>261ケアウォッシュ(17KG) 青</v>
      </c>
    </row>
    <row r="50" spans="1:8" ht="20">
      <c r="A50" s="24">
        <v>47</v>
      </c>
      <c r="B50" s="22" t="s">
        <v>22</v>
      </c>
      <c r="C50" s="22">
        <v>261</v>
      </c>
      <c r="D50" s="22" t="s">
        <v>64</v>
      </c>
      <c r="E50" s="22">
        <v>6</v>
      </c>
      <c r="F50" s="25">
        <v>43272</v>
      </c>
      <c r="G50" s="22"/>
      <c r="H50" s="22" t="str">
        <f>CONCATENATE(Table1[[#This Row],[Order Code]],Table1[[#This Row],[NAME]])</f>
        <v>261D-2167 水色</v>
      </c>
    </row>
    <row r="51" spans="1:8" ht="20">
      <c r="A51" s="24">
        <v>48</v>
      </c>
      <c r="B51" s="22" t="s">
        <v>22</v>
      </c>
      <c r="C51" s="22">
        <v>251</v>
      </c>
      <c r="D51" s="22" t="s">
        <v>65</v>
      </c>
      <c r="E51" s="22">
        <v>8</v>
      </c>
      <c r="F51" s="25">
        <v>43886</v>
      </c>
      <c r="G51" s="22">
        <v>1</v>
      </c>
      <c r="H51" s="22" t="str">
        <f>CONCATENATE(Table1[[#This Row],[Order Code]],Table1[[#This Row],[NAME]])</f>
        <v>251ハナビアンVS150 水色</v>
      </c>
    </row>
    <row r="52" spans="1:8" ht="20">
      <c r="A52" s="24">
        <v>49</v>
      </c>
      <c r="B52" s="22" t="s">
        <v>22</v>
      </c>
      <c r="C52" s="22">
        <v>251</v>
      </c>
      <c r="D52" s="22" t="s">
        <v>62</v>
      </c>
      <c r="E52" s="22">
        <v>8</v>
      </c>
      <c r="F52" s="25">
        <v>43648</v>
      </c>
      <c r="G52" s="22"/>
      <c r="H52" s="22" t="str">
        <f>CONCATENATE(Table1[[#This Row],[Order Code]],Table1[[#This Row],[NAME]])</f>
        <v>251D-2166 青(コート)</v>
      </c>
    </row>
    <row r="53" spans="1:8" ht="20">
      <c r="A53" s="24">
        <v>50</v>
      </c>
      <c r="B53" s="22" t="s">
        <v>22</v>
      </c>
      <c r="C53" s="22">
        <v>222</v>
      </c>
      <c r="D53" s="22" t="s">
        <v>66</v>
      </c>
      <c r="E53" s="22">
        <v>5</v>
      </c>
      <c r="F53" s="25">
        <v>43602</v>
      </c>
      <c r="G53" s="22"/>
      <c r="H53" s="22" t="str">
        <f>CONCATENATE(Table1[[#This Row],[Order Code]],Table1[[#This Row],[NAME]])</f>
        <v>222D-641 青(コート)</v>
      </c>
    </row>
    <row r="54" spans="1:8" ht="20">
      <c r="A54" s="24">
        <v>51</v>
      </c>
      <c r="B54" s="22" t="s">
        <v>22</v>
      </c>
      <c r="C54" s="22">
        <v>241</v>
      </c>
      <c r="D54" s="22" t="s">
        <v>67</v>
      </c>
      <c r="E54" s="22">
        <v>6</v>
      </c>
      <c r="F54" s="25">
        <v>43081</v>
      </c>
      <c r="G54" s="22"/>
      <c r="H54" s="22" t="str">
        <f>CONCATENATE(Table1[[#This Row],[Order Code]],Table1[[#This Row],[NAME]])</f>
        <v>241D-2167 水色(コート)</v>
      </c>
    </row>
    <row r="55" spans="1:8" ht="20">
      <c r="A55" s="24">
        <v>52</v>
      </c>
      <c r="B55" s="22" t="s">
        <v>22</v>
      </c>
      <c r="C55" s="22">
        <v>241</v>
      </c>
      <c r="D55" s="22" t="s">
        <v>68</v>
      </c>
      <c r="E55" s="22">
        <v>4</v>
      </c>
      <c r="F55" s="25">
        <v>42807</v>
      </c>
      <c r="G55" s="22"/>
      <c r="H55" s="22" t="str">
        <f>CONCATENATE(Table1[[#This Row],[Order Code]],Table1[[#This Row],[NAME]])</f>
        <v>241D-2177 青(コート)</v>
      </c>
    </row>
    <row r="56" spans="1:8" ht="20">
      <c r="A56" s="24">
        <v>53</v>
      </c>
      <c r="B56" s="22" t="s">
        <v>22</v>
      </c>
      <c r="C56" s="22">
        <v>241</v>
      </c>
      <c r="D56" s="22" t="s">
        <v>69</v>
      </c>
      <c r="E56" s="22">
        <v>6</v>
      </c>
      <c r="F56" s="25">
        <v>43811</v>
      </c>
      <c r="G56" s="22">
        <v>1</v>
      </c>
      <c r="H56" s="22" t="str">
        <f>CONCATENATE(Table1[[#This Row],[Order Code]],Table1[[#This Row],[NAME]])</f>
        <v>241D-178 浅葱</v>
      </c>
    </row>
    <row r="57" spans="1:8" ht="20">
      <c r="A57" s="24">
        <v>54</v>
      </c>
      <c r="B57" s="22" t="s">
        <v>22</v>
      </c>
      <c r="C57" s="22">
        <v>231</v>
      </c>
      <c r="D57" s="22" t="s">
        <v>70</v>
      </c>
      <c r="E57" s="22">
        <v>5</v>
      </c>
      <c r="F57" s="25">
        <v>43746</v>
      </c>
      <c r="G57" s="22"/>
      <c r="H57" s="22" t="str">
        <f>CONCATENATE(Table1[[#This Row],[Order Code]],Table1[[#This Row],[NAME]])</f>
        <v>231D-140 青</v>
      </c>
    </row>
    <row r="58" spans="1:8" ht="20">
      <c r="A58" s="24">
        <v>55</v>
      </c>
      <c r="B58" s="22" t="s">
        <v>22</v>
      </c>
      <c r="C58" s="22">
        <v>231</v>
      </c>
      <c r="D58" s="22" t="s">
        <v>70</v>
      </c>
      <c r="E58" s="22">
        <v>5</v>
      </c>
      <c r="F58" s="22" t="s">
        <v>58</v>
      </c>
      <c r="G58" s="22"/>
      <c r="H58" s="22" t="str">
        <f>CONCATENATE(Table1[[#This Row],[Order Code]],Table1[[#This Row],[NAME]])</f>
        <v>231D-140 青</v>
      </c>
    </row>
    <row r="59" spans="1:8" ht="20">
      <c r="A59" s="24">
        <v>56</v>
      </c>
      <c r="B59" s="22" t="s">
        <v>22</v>
      </c>
      <c r="C59" s="22">
        <v>231</v>
      </c>
      <c r="D59" s="22" t="s">
        <v>71</v>
      </c>
      <c r="E59" s="22">
        <v>5</v>
      </c>
      <c r="F59" s="25">
        <v>43796</v>
      </c>
      <c r="G59" s="22">
        <v>1</v>
      </c>
      <c r="H59" s="22" t="str">
        <f>CONCATENATE(Table1[[#This Row],[Order Code]],Table1[[#This Row],[NAME]])</f>
        <v>231P-2726C 青</v>
      </c>
    </row>
    <row r="60" spans="1:8" ht="20">
      <c r="A60" s="24">
        <v>57</v>
      </c>
      <c r="B60" s="22" t="s">
        <v>22</v>
      </c>
      <c r="C60" s="22">
        <v>201</v>
      </c>
      <c r="D60" s="22" t="s">
        <v>238</v>
      </c>
      <c r="E60" s="22">
        <v>8</v>
      </c>
      <c r="F60" s="25">
        <v>43861</v>
      </c>
      <c r="G60" s="22">
        <v>1</v>
      </c>
      <c r="H60" s="22" t="str">
        <f>CONCATENATE(Table1[[#This Row],[Order Code]],Table1[[#This Row],[NAME]])</f>
        <v>201ユタカ花粉ホコリ　青</v>
      </c>
    </row>
    <row r="61" spans="1:8" ht="20">
      <c r="A61" s="24">
        <v>58</v>
      </c>
      <c r="B61" s="22" t="s">
        <v>22</v>
      </c>
      <c r="C61" s="26">
        <v>221</v>
      </c>
      <c r="D61" s="22" t="s">
        <v>73</v>
      </c>
      <c r="E61" s="22">
        <v>3</v>
      </c>
      <c r="F61" s="25">
        <v>43573</v>
      </c>
      <c r="G61" s="22">
        <v>1</v>
      </c>
      <c r="H61" s="22" t="str">
        <f>CONCATENATE(Table1[[#This Row],[Order Code]],Table1[[#This Row],[NAME]])</f>
        <v>221サンフレンド　青</v>
      </c>
    </row>
    <row r="62" spans="1:8" ht="20">
      <c r="A62" s="24">
        <v>59</v>
      </c>
      <c r="B62" s="22" t="s">
        <v>22</v>
      </c>
      <c r="C62" s="26">
        <v>221</v>
      </c>
      <c r="D62" s="22" t="s">
        <v>74</v>
      </c>
      <c r="E62" s="22">
        <v>8</v>
      </c>
      <c r="F62" s="25">
        <v>43602</v>
      </c>
      <c r="G62" s="22"/>
      <c r="H62" s="22" t="str">
        <f>CONCATENATE(Table1[[#This Row],[Order Code]],Table1[[#This Row],[NAME]])</f>
        <v>221エコスマイル BO（10KG）青</v>
      </c>
    </row>
    <row r="63" spans="1:8" ht="20">
      <c r="A63" s="24">
        <v>60</v>
      </c>
      <c r="B63" s="22" t="s">
        <v>22</v>
      </c>
      <c r="C63" s="26">
        <v>222</v>
      </c>
      <c r="D63" s="22" t="s">
        <v>75</v>
      </c>
      <c r="E63" s="22">
        <v>8</v>
      </c>
      <c r="F63" s="25">
        <v>43844</v>
      </c>
      <c r="G63" s="22">
        <v>1</v>
      </c>
      <c r="H63" s="22" t="str">
        <f>CONCATENATE(Table1[[#This Row],[Order Code]],Table1[[#This Row],[NAME]])</f>
        <v>222愛育病院内用薬　青</v>
      </c>
    </row>
    <row r="64" spans="1:8" ht="20">
      <c r="A64" s="24">
        <v>61</v>
      </c>
      <c r="B64" s="22" t="s">
        <v>22</v>
      </c>
      <c r="C64" s="26">
        <v>211</v>
      </c>
      <c r="D64" s="22" t="s">
        <v>76</v>
      </c>
      <c r="E64" s="22">
        <v>8</v>
      </c>
      <c r="F64" s="25">
        <v>43787</v>
      </c>
      <c r="G64" s="22">
        <v>1</v>
      </c>
      <c r="H64" s="22" t="str">
        <f>CONCATENATE(Table1[[#This Row],[Order Code]],Table1[[#This Row],[NAME]])</f>
        <v>211テクノクリアN5L 水色</v>
      </c>
    </row>
    <row r="65" spans="1:8" ht="20">
      <c r="A65" s="24">
        <v>62</v>
      </c>
      <c r="B65" s="22" t="s">
        <v>22</v>
      </c>
      <c r="C65" s="26">
        <v>211</v>
      </c>
      <c r="D65" s="22" t="s">
        <v>77</v>
      </c>
      <c r="E65" s="22">
        <v>5</v>
      </c>
      <c r="F65" s="25">
        <v>43580</v>
      </c>
      <c r="G65" s="22">
        <v>1</v>
      </c>
      <c r="H65" s="22" t="str">
        <f>CONCATENATE(Table1[[#This Row],[Order Code]],Table1[[#This Row],[NAME]])</f>
        <v>211ドライスター　青</v>
      </c>
    </row>
    <row r="66" spans="1:8" ht="20">
      <c r="A66" s="24">
        <v>63</v>
      </c>
      <c r="B66" s="22" t="s">
        <v>22</v>
      </c>
      <c r="C66" s="22">
        <v>221</v>
      </c>
      <c r="D66" s="22" t="s">
        <v>78</v>
      </c>
      <c r="E66" s="22">
        <v>8</v>
      </c>
      <c r="F66" s="25">
        <v>43573</v>
      </c>
      <c r="G66" s="22">
        <v>1</v>
      </c>
      <c r="H66" s="22" t="str">
        <f>CONCATENATE(Table1[[#This Row],[Order Code]],Table1[[#This Row],[NAME]])</f>
        <v>221サンフレンド 青</v>
      </c>
    </row>
    <row r="67" spans="1:8" ht="20">
      <c r="A67" s="24">
        <v>64</v>
      </c>
      <c r="B67" s="22" t="s">
        <v>22</v>
      </c>
      <c r="C67" s="26">
        <v>201</v>
      </c>
      <c r="D67" s="22" t="s">
        <v>79</v>
      </c>
      <c r="E67" s="22">
        <v>8</v>
      </c>
      <c r="F67" s="25">
        <v>43605</v>
      </c>
      <c r="G67" s="22">
        <v>1</v>
      </c>
      <c r="H67" s="22" t="str">
        <f>CONCATENATE(Table1[[#This Row],[Order Code]],Table1[[#This Row],[NAME]])</f>
        <v>201WASHハウスソープ</v>
      </c>
    </row>
    <row r="68" spans="1:8" ht="20">
      <c r="A68" s="24">
        <v>65</v>
      </c>
      <c r="B68" s="22" t="s">
        <v>22</v>
      </c>
      <c r="C68" s="26">
        <v>201</v>
      </c>
      <c r="D68" s="22" t="s">
        <v>80</v>
      </c>
      <c r="E68" s="22">
        <v>5</v>
      </c>
      <c r="F68" s="25">
        <v>43720</v>
      </c>
      <c r="G68" s="22">
        <v>1</v>
      </c>
      <c r="H68" s="22" t="str">
        <f>CONCATENATE(Table1[[#This Row],[Order Code]],Table1[[#This Row],[NAME]])</f>
        <v>201サンレックス3.5 青</v>
      </c>
    </row>
    <row r="69" spans="1:8" ht="20">
      <c r="A69" s="24">
        <v>67</v>
      </c>
      <c r="B69" s="22" t="s">
        <v>22</v>
      </c>
      <c r="C69" s="22">
        <v>1101</v>
      </c>
      <c r="D69" s="22" t="s">
        <v>81</v>
      </c>
      <c r="E69" s="22">
        <v>10</v>
      </c>
      <c r="F69" s="25">
        <v>43563</v>
      </c>
      <c r="G69" s="22">
        <v>1</v>
      </c>
      <c r="H69" s="22" t="str">
        <f>CONCATENATE(Table1[[#This Row],[Order Code]],Table1[[#This Row],[NAME]])</f>
        <v>1101D-156 赤</v>
      </c>
    </row>
    <row r="70" spans="1:8" ht="20">
      <c r="A70" s="24">
        <v>68</v>
      </c>
      <c r="B70" s="22" t="s">
        <v>22</v>
      </c>
      <c r="C70" s="22">
        <v>1101</v>
      </c>
      <c r="D70" s="22" t="s">
        <v>82</v>
      </c>
      <c r="E70" s="22">
        <v>10</v>
      </c>
      <c r="F70" s="25">
        <v>43742</v>
      </c>
      <c r="G70" s="22">
        <v>1</v>
      </c>
      <c r="H70" s="22" t="str">
        <f>CONCATENATE(Table1[[#This Row],[Order Code]],Table1[[#This Row],[NAME]])</f>
        <v>1101ロイヤルソフター  赤</v>
      </c>
    </row>
    <row r="71" spans="1:8" ht="20">
      <c r="A71" s="24">
        <v>69</v>
      </c>
      <c r="B71" s="22" t="s">
        <v>22</v>
      </c>
      <c r="C71" s="22">
        <v>1101</v>
      </c>
      <c r="D71" s="22" t="s">
        <v>83</v>
      </c>
      <c r="E71" s="22">
        <v>10</v>
      </c>
      <c r="F71" s="25">
        <v>43756</v>
      </c>
      <c r="G71" s="22">
        <v>1</v>
      </c>
      <c r="H71" s="22" t="str">
        <f>CONCATENATE(Table1[[#This Row],[Order Code]],Table1[[#This Row],[NAME]])</f>
        <v>1101ニッカサンブリーチ　赤</v>
      </c>
    </row>
    <row r="72" spans="1:8" ht="20">
      <c r="A72" s="24">
        <v>70</v>
      </c>
      <c r="B72" s="22" t="s">
        <v>22</v>
      </c>
      <c r="C72" s="22">
        <v>231</v>
      </c>
      <c r="D72" s="22" t="s">
        <v>81</v>
      </c>
      <c r="E72" s="22">
        <v>10</v>
      </c>
      <c r="F72" s="25">
        <v>43742</v>
      </c>
      <c r="G72" s="22">
        <v>1</v>
      </c>
      <c r="H72" s="22" t="str">
        <f>CONCATENATE(Table1[[#This Row],[Order Code]],Table1[[#This Row],[NAME]])</f>
        <v>231D-156 赤</v>
      </c>
    </row>
    <row r="73" spans="1:8" ht="20">
      <c r="A73" s="24">
        <v>71</v>
      </c>
      <c r="B73" s="22" t="s">
        <v>22</v>
      </c>
      <c r="C73" s="22">
        <v>191</v>
      </c>
      <c r="D73" s="22" t="s">
        <v>29</v>
      </c>
      <c r="E73" s="22">
        <v>10</v>
      </c>
      <c r="F73" s="25">
        <v>43307</v>
      </c>
      <c r="G73" s="22">
        <v>1</v>
      </c>
      <c r="H73" s="22" t="str">
        <f>CONCATENATE(Table1[[#This Row],[Order Code]],Table1[[#This Row],[NAME]])</f>
        <v>191D-49 濃ピンク</v>
      </c>
    </row>
    <row r="74" spans="1:8" ht="20">
      <c r="A74" s="24">
        <v>72</v>
      </c>
      <c r="B74" s="22" t="s">
        <v>22</v>
      </c>
      <c r="C74" s="22">
        <v>191</v>
      </c>
      <c r="D74" s="22" t="s">
        <v>84</v>
      </c>
      <c r="E74" s="22">
        <v>10</v>
      </c>
      <c r="F74" s="25">
        <v>43746</v>
      </c>
      <c r="G74" s="22"/>
      <c r="H74" s="22" t="str">
        <f>CONCATENATE(Table1[[#This Row],[Order Code]],Table1[[#This Row],[NAME]])</f>
        <v>191D-24 ピンク</v>
      </c>
    </row>
    <row r="75" spans="1:8" ht="20">
      <c r="A75" s="24">
        <v>73</v>
      </c>
      <c r="B75" s="22" t="s">
        <v>22</v>
      </c>
      <c r="C75" s="22">
        <v>191</v>
      </c>
      <c r="D75" s="22" t="s">
        <v>85</v>
      </c>
      <c r="E75" s="22">
        <v>7</v>
      </c>
      <c r="F75" s="25">
        <v>43755</v>
      </c>
      <c r="G75" s="22"/>
      <c r="H75" s="22" t="str">
        <f>CONCATENATE(Table1[[#This Row],[Order Code]],Table1[[#This Row],[NAME]])</f>
        <v>191墨S</v>
      </c>
    </row>
    <row r="76" spans="1:8" ht="20">
      <c r="A76" s="24">
        <v>74</v>
      </c>
      <c r="B76" s="22" t="s">
        <v>22</v>
      </c>
      <c r="C76" s="22">
        <v>181</v>
      </c>
      <c r="D76" s="22" t="s">
        <v>86</v>
      </c>
      <c r="E76" s="22">
        <v>10</v>
      </c>
      <c r="F76" s="25">
        <v>43812</v>
      </c>
      <c r="G76" s="22">
        <v>1</v>
      </c>
      <c r="H76" s="22" t="str">
        <f>CONCATENATE(Table1[[#This Row],[Order Code]],Table1[[#This Row],[NAME]])</f>
        <v>181ユタカ500265 ピンク</v>
      </c>
    </row>
    <row r="77" spans="1:8" ht="20">
      <c r="A77" s="24">
        <v>75</v>
      </c>
      <c r="B77" s="22" t="s">
        <v>22</v>
      </c>
      <c r="C77" s="22">
        <v>171</v>
      </c>
      <c r="D77" s="22" t="s">
        <v>45</v>
      </c>
      <c r="E77" s="22">
        <v>10</v>
      </c>
      <c r="F77" s="25">
        <v>43697</v>
      </c>
      <c r="G77" s="22"/>
      <c r="H77" s="22" t="str">
        <f>CONCATENATE(Table1[[#This Row],[Order Code]],Table1[[#This Row],[NAME]])</f>
        <v>171ドライバリガードオレンジ</v>
      </c>
    </row>
    <row r="78" spans="1:8" ht="20">
      <c r="A78" s="24">
        <v>76</v>
      </c>
      <c r="B78" s="22" t="s">
        <v>22</v>
      </c>
      <c r="C78" s="22">
        <v>171</v>
      </c>
      <c r="D78" s="22" t="s">
        <v>87</v>
      </c>
      <c r="E78" s="22">
        <v>10</v>
      </c>
      <c r="F78" s="25">
        <v>43340</v>
      </c>
      <c r="G78" s="22"/>
      <c r="H78" s="22" t="str">
        <f>CONCATENATE(Table1[[#This Row],[Order Code]],Table1[[#This Row],[NAME]])</f>
        <v>171D-82 オレンジ</v>
      </c>
    </row>
    <row r="79" spans="1:8" ht="20">
      <c r="A79" s="24">
        <v>77</v>
      </c>
      <c r="B79" s="22" t="s">
        <v>22</v>
      </c>
      <c r="C79" s="22">
        <v>161</v>
      </c>
      <c r="D79" s="22" t="s">
        <v>88</v>
      </c>
      <c r="E79" s="22">
        <v>10</v>
      </c>
      <c r="F79" s="25">
        <v>43697</v>
      </c>
      <c r="G79" s="22">
        <v>1</v>
      </c>
      <c r="H79" s="22" t="str">
        <f>CONCATENATE(Table1[[#This Row],[Order Code]],Table1[[#This Row],[NAME]])</f>
        <v>161ドライスター　黄</v>
      </c>
    </row>
    <row r="80" spans="1:8" ht="20">
      <c r="A80" s="24">
        <v>78</v>
      </c>
      <c r="B80" s="22" t="s">
        <v>22</v>
      </c>
      <c r="C80" s="22">
        <v>161</v>
      </c>
      <c r="D80" s="22" t="s">
        <v>89</v>
      </c>
      <c r="E80" s="22">
        <v>10</v>
      </c>
      <c r="F80" s="25">
        <v>43756</v>
      </c>
      <c r="G80" s="22">
        <v>1</v>
      </c>
      <c r="H80" s="22" t="str">
        <f>CONCATENATE(Table1[[#This Row],[Order Code]],Table1[[#This Row],[NAME]])</f>
        <v>161ニッカサンブリーチ 黄</v>
      </c>
    </row>
    <row r="81" spans="1:8" ht="20">
      <c r="A81" s="24">
        <v>79</v>
      </c>
      <c r="B81" s="22" t="s">
        <v>22</v>
      </c>
      <c r="C81" s="22">
        <v>151</v>
      </c>
      <c r="D81" s="22" t="s">
        <v>90</v>
      </c>
      <c r="E81" s="22">
        <v>10</v>
      </c>
      <c r="F81" s="25">
        <v>43880</v>
      </c>
      <c r="G81" s="22">
        <v>1</v>
      </c>
      <c r="H81" s="22" t="str">
        <f>CONCATENATE(Table1[[#This Row],[Order Code]],Table1[[#This Row],[NAME]])</f>
        <v>151ルピランソープ　緑</v>
      </c>
    </row>
    <row r="82" spans="1:8" ht="20">
      <c r="A82" s="24">
        <v>80</v>
      </c>
      <c r="B82" s="22" t="s">
        <v>22</v>
      </c>
      <c r="C82" s="22">
        <v>151</v>
      </c>
      <c r="D82" s="22" t="s">
        <v>91</v>
      </c>
      <c r="E82" s="22">
        <v>10</v>
      </c>
      <c r="F82" s="25">
        <v>43573</v>
      </c>
      <c r="G82" s="22"/>
      <c r="H82" s="22" t="str">
        <f>CONCATENATE(Table1[[#This Row],[Order Code]],Table1[[#This Row],[NAME]])</f>
        <v>151オーリス　緑</v>
      </c>
    </row>
    <row r="83" spans="1:8" ht="20">
      <c r="A83" s="24">
        <v>81</v>
      </c>
      <c r="B83" s="22" t="s">
        <v>22</v>
      </c>
      <c r="C83" s="22">
        <v>151</v>
      </c>
      <c r="D83" s="22" t="s">
        <v>91</v>
      </c>
      <c r="E83" s="22">
        <v>10</v>
      </c>
      <c r="F83" s="25">
        <v>43573</v>
      </c>
      <c r="G83" s="22"/>
      <c r="H83" s="22" t="str">
        <f>CONCATENATE(Table1[[#This Row],[Order Code]],Table1[[#This Row],[NAME]])</f>
        <v>151オーリス　緑</v>
      </c>
    </row>
    <row r="84" spans="1:8" ht="20">
      <c r="A84" s="24">
        <v>82</v>
      </c>
      <c r="B84" s="22" t="s">
        <v>22</v>
      </c>
      <c r="C84" s="22">
        <v>141</v>
      </c>
      <c r="D84" s="22" t="s">
        <v>92</v>
      </c>
      <c r="E84" s="22">
        <v>10</v>
      </c>
      <c r="F84" s="25">
        <v>43742</v>
      </c>
      <c r="G84" s="22"/>
      <c r="H84" s="22" t="str">
        <f>CONCATENATE(Table1[[#This Row],[Order Code]],Table1[[#This Row],[NAME]])</f>
        <v>141D-2650 緑</v>
      </c>
    </row>
    <row r="85" spans="1:8" ht="20">
      <c r="A85" s="24">
        <v>83</v>
      </c>
      <c r="B85" s="22" t="s">
        <v>22</v>
      </c>
      <c r="C85" s="22">
        <v>141</v>
      </c>
      <c r="D85" s="22" t="s">
        <v>93</v>
      </c>
      <c r="E85" s="22">
        <v>10</v>
      </c>
      <c r="F85" s="25">
        <v>43805</v>
      </c>
      <c r="G85" s="22">
        <v>1</v>
      </c>
      <c r="H85" s="22" t="str">
        <f>CONCATENATE(Table1[[#This Row],[Order Code]],Table1[[#This Row],[NAME]])</f>
        <v>141ELP 緑</v>
      </c>
    </row>
    <row r="86" spans="1:8" ht="20">
      <c r="A86" s="24">
        <v>84</v>
      </c>
      <c r="B86" s="22" t="s">
        <v>22</v>
      </c>
      <c r="C86" s="22">
        <v>141</v>
      </c>
      <c r="D86" s="22" t="s">
        <v>94</v>
      </c>
      <c r="E86" s="22">
        <v>10</v>
      </c>
      <c r="F86" s="25">
        <v>43669</v>
      </c>
      <c r="G86" s="22">
        <v>1</v>
      </c>
      <c r="H86" s="22" t="str">
        <f>CONCATENATE(Table1[[#This Row],[Order Code]],Table1[[#This Row],[NAME]])</f>
        <v>141D-638 緑</v>
      </c>
    </row>
    <row r="87" spans="1:8" ht="20">
      <c r="A87" s="24">
        <v>85</v>
      </c>
      <c r="B87" s="22" t="s">
        <v>22</v>
      </c>
      <c r="C87" s="22">
        <v>222</v>
      </c>
      <c r="D87" s="22" t="s">
        <v>70</v>
      </c>
      <c r="E87" s="22">
        <v>9</v>
      </c>
      <c r="F87" s="25">
        <v>43616</v>
      </c>
      <c r="G87" s="22"/>
      <c r="H87" s="22" t="str">
        <f>CONCATENATE(Table1[[#This Row],[Order Code]],Table1[[#This Row],[NAME]])</f>
        <v>222D-140 青</v>
      </c>
    </row>
    <row r="88" spans="1:8" ht="20">
      <c r="A88" s="24">
        <v>86</v>
      </c>
      <c r="B88" s="22" t="s">
        <v>22</v>
      </c>
      <c r="C88" s="22">
        <v>131</v>
      </c>
      <c r="D88" s="22" t="s">
        <v>66</v>
      </c>
      <c r="E88" s="22">
        <v>10</v>
      </c>
      <c r="F88" s="25">
        <v>43748</v>
      </c>
      <c r="G88" s="22"/>
      <c r="H88" s="22" t="str">
        <f>CONCATENATE(Table1[[#This Row],[Order Code]],Table1[[#This Row],[NAME]])</f>
        <v>131D-641 青(コート)</v>
      </c>
    </row>
    <row r="89" spans="1:8" ht="20">
      <c r="A89" s="24">
        <v>87</v>
      </c>
      <c r="B89" s="22" t="s">
        <v>22</v>
      </c>
      <c r="C89" s="22">
        <v>121</v>
      </c>
      <c r="D89" s="22" t="s">
        <v>68</v>
      </c>
      <c r="E89" s="22">
        <v>10</v>
      </c>
      <c r="F89" s="25">
        <v>43081</v>
      </c>
      <c r="G89" s="22"/>
      <c r="H89" s="22" t="str">
        <f>CONCATENATE(Table1[[#This Row],[Order Code]],Table1[[#This Row],[NAME]])</f>
        <v>121D-2177 青(コート)</v>
      </c>
    </row>
    <row r="90" spans="1:8" ht="20">
      <c r="A90" s="24">
        <v>88</v>
      </c>
      <c r="B90" s="22" t="s">
        <v>22</v>
      </c>
      <c r="C90" s="22">
        <v>121</v>
      </c>
      <c r="D90" s="22" t="s">
        <v>68</v>
      </c>
      <c r="E90" s="22">
        <v>10</v>
      </c>
      <c r="F90" s="25">
        <v>43188</v>
      </c>
      <c r="G90" s="22"/>
      <c r="H90" s="22" t="str">
        <f>CONCATENATE(Table1[[#This Row],[Order Code]],Table1[[#This Row],[NAME]])</f>
        <v>121D-2177 青(コート)</v>
      </c>
    </row>
    <row r="91" spans="1:8" ht="20">
      <c r="A91" s="24">
        <v>89</v>
      </c>
      <c r="B91" s="22" t="s">
        <v>22</v>
      </c>
      <c r="C91" s="22">
        <v>111</v>
      </c>
      <c r="D91" s="22" t="s">
        <v>95</v>
      </c>
      <c r="E91" s="22">
        <v>10</v>
      </c>
      <c r="F91" s="25">
        <v>43573</v>
      </c>
      <c r="G91" s="22">
        <v>1</v>
      </c>
      <c r="H91" s="22" t="str">
        <f>CONCATENATE(Table1[[#This Row],[Order Code]],Table1[[#This Row],[NAME]])</f>
        <v>111イスタポール　青</v>
      </c>
    </row>
    <row r="92" spans="1:8" ht="20">
      <c r="A92" s="24">
        <v>90</v>
      </c>
      <c r="B92" s="22" t="s">
        <v>22</v>
      </c>
      <c r="C92" s="22">
        <v>111</v>
      </c>
      <c r="D92" s="22" t="s">
        <v>95</v>
      </c>
      <c r="E92" s="22">
        <v>10</v>
      </c>
      <c r="F92" s="25">
        <v>43573</v>
      </c>
      <c r="G92" s="22">
        <v>1</v>
      </c>
      <c r="H92" s="22" t="str">
        <f>CONCATENATE(Table1[[#This Row],[Order Code]],Table1[[#This Row],[NAME]])</f>
        <v>111イスタポール　青</v>
      </c>
    </row>
    <row r="93" spans="1:8" ht="20">
      <c r="A93" s="24">
        <v>91</v>
      </c>
      <c r="B93" s="22" t="s">
        <v>22</v>
      </c>
      <c r="C93" s="22">
        <v>111</v>
      </c>
      <c r="D93" s="22" t="s">
        <v>96</v>
      </c>
      <c r="E93" s="22">
        <v>10</v>
      </c>
      <c r="F93" s="25">
        <v>43697</v>
      </c>
      <c r="G93" s="22"/>
      <c r="H93" s="22" t="str">
        <f>CONCATENATE(Table1[[#This Row],[Order Code]],Table1[[#This Row],[NAME]])</f>
        <v>111ドライイスター　青</v>
      </c>
    </row>
    <row r="94" spans="1:8" ht="20">
      <c r="A94" s="24">
        <v>92</v>
      </c>
      <c r="B94" s="22" t="s">
        <v>22</v>
      </c>
      <c r="C94" s="22">
        <v>242</v>
      </c>
      <c r="D94" s="22" t="s">
        <v>97</v>
      </c>
      <c r="E94" s="22">
        <v>10</v>
      </c>
      <c r="F94" s="25">
        <v>43770</v>
      </c>
      <c r="G94" s="22">
        <v>1</v>
      </c>
      <c r="H94" s="22" t="str">
        <f>CONCATENATE(Table1[[#This Row],[Order Code]],Table1[[#This Row],[NAME]])</f>
        <v>242ユタカ　浅葱</v>
      </c>
    </row>
    <row r="95" spans="1:8" ht="20">
      <c r="A95" s="24">
        <v>93</v>
      </c>
      <c r="B95" s="22" t="s">
        <v>22</v>
      </c>
      <c r="C95" s="22">
        <v>101</v>
      </c>
      <c r="D95" s="22" t="s">
        <v>98</v>
      </c>
      <c r="E95" s="22">
        <v>10</v>
      </c>
      <c r="F95" s="25">
        <v>43612</v>
      </c>
      <c r="G95" s="22"/>
      <c r="H95" s="22" t="str">
        <f>CONCATENATE(Table1[[#This Row],[Order Code]],Table1[[#This Row],[NAME]])</f>
        <v>101STERISH N104(4L）　青</v>
      </c>
    </row>
    <row r="96" spans="1:8" ht="20">
      <c r="A96" s="24">
        <v>94</v>
      </c>
      <c r="B96" s="22" t="s">
        <v>22</v>
      </c>
      <c r="C96" s="22">
        <v>101</v>
      </c>
      <c r="D96" s="22" t="s">
        <v>99</v>
      </c>
      <c r="E96" s="22">
        <v>10</v>
      </c>
      <c r="F96" s="25">
        <v>43746</v>
      </c>
      <c r="G96" s="22">
        <v>1</v>
      </c>
      <c r="H96" s="22" t="str">
        <f>CONCATENATE(Table1[[#This Row],[Order Code]],Table1[[#This Row],[NAME]])</f>
        <v>101WASH ハウスソープ　青</v>
      </c>
    </row>
    <row r="97" spans="1:8" ht="20">
      <c r="A97" s="24">
        <v>95</v>
      </c>
      <c r="B97" s="22" t="s">
        <v>22</v>
      </c>
      <c r="C97" s="22">
        <v>101</v>
      </c>
      <c r="D97" s="22" t="s">
        <v>100</v>
      </c>
      <c r="E97" s="22">
        <v>10</v>
      </c>
      <c r="F97" s="25">
        <v>43746</v>
      </c>
      <c r="G97" s="22"/>
      <c r="H97" s="22" t="str">
        <f>CONCATENATE(Table1[[#This Row],[Order Code]],Table1[[#This Row],[NAME]])</f>
        <v>101D-222 紺</v>
      </c>
    </row>
    <row r="98" spans="1:8" ht="20">
      <c r="A98" s="24">
        <v>97</v>
      </c>
      <c r="B98" s="22" t="s">
        <v>22</v>
      </c>
      <c r="C98" s="22">
        <v>303</v>
      </c>
      <c r="D98" s="22" t="s">
        <v>101</v>
      </c>
      <c r="E98" s="22">
        <v>6</v>
      </c>
      <c r="F98" s="25">
        <v>43626</v>
      </c>
      <c r="G98" s="22"/>
      <c r="H98" s="22" t="str">
        <f>CONCATENATE(Table1[[#This Row],[Order Code]],Table1[[#This Row],[NAME]])</f>
        <v>303ユタカ　オレンジ</v>
      </c>
    </row>
    <row r="99" spans="1:8" ht="20">
      <c r="A99" s="24">
        <v>98</v>
      </c>
      <c r="B99" s="22" t="s">
        <v>22</v>
      </c>
      <c r="C99" s="22">
        <v>303</v>
      </c>
      <c r="D99" s="22" t="s">
        <v>101</v>
      </c>
      <c r="E99" s="22">
        <v>6</v>
      </c>
      <c r="F99" s="25">
        <v>43151</v>
      </c>
      <c r="G99" s="22"/>
      <c r="H99" s="22" t="str">
        <f>CONCATENATE(Table1[[#This Row],[Order Code]],Table1[[#This Row],[NAME]])</f>
        <v>303ユタカ　オレンジ</v>
      </c>
    </row>
    <row r="100" spans="1:8" ht="20">
      <c r="A100" s="24">
        <v>99</v>
      </c>
      <c r="B100" s="22" t="s">
        <v>22</v>
      </c>
      <c r="C100" s="22">
        <v>301</v>
      </c>
      <c r="D100" s="22" t="s">
        <v>50</v>
      </c>
      <c r="E100" s="22">
        <v>8</v>
      </c>
      <c r="F100" s="25">
        <v>43634</v>
      </c>
      <c r="G100" s="22">
        <v>1</v>
      </c>
      <c r="H100" s="22" t="str">
        <f>CONCATENATE(Table1[[#This Row],[Order Code]],Table1[[#This Row],[NAME]])</f>
        <v>301シャープ 洗浄剤　ラベル　オレンジ</v>
      </c>
    </row>
    <row r="101" spans="1:8" ht="20">
      <c r="A101" s="24">
        <v>100</v>
      </c>
      <c r="B101" s="22" t="s">
        <v>22</v>
      </c>
      <c r="C101" s="22">
        <v>302</v>
      </c>
      <c r="D101" s="22" t="s">
        <v>83</v>
      </c>
      <c r="E101" s="22">
        <v>8</v>
      </c>
      <c r="F101" s="25">
        <v>43756</v>
      </c>
      <c r="G101" s="22">
        <v>1</v>
      </c>
      <c r="H101" s="22" t="str">
        <f>CONCATENATE(Table1[[#This Row],[Order Code]],Table1[[#This Row],[NAME]])</f>
        <v>302ニッカサンブリーチ　赤</v>
      </c>
    </row>
    <row r="102" spans="1:8" ht="20">
      <c r="A102" s="24">
        <v>101</v>
      </c>
      <c r="B102" s="22" t="s">
        <v>22</v>
      </c>
      <c r="C102" s="22">
        <v>203</v>
      </c>
      <c r="D102" s="22" t="s">
        <v>102</v>
      </c>
      <c r="E102" s="22">
        <v>6</v>
      </c>
      <c r="F102" s="25">
        <v>43720</v>
      </c>
      <c r="G102" s="22">
        <v>1</v>
      </c>
      <c r="H102" s="22" t="str">
        <f>CONCATENATE(Table1[[#This Row],[Order Code]],Table1[[#This Row],[NAME]])</f>
        <v>203ユタカ500249 青</v>
      </c>
    </row>
    <row r="103" spans="1:8" ht="20">
      <c r="A103" s="24">
        <v>102</v>
      </c>
      <c r="B103" s="22" t="s">
        <v>22</v>
      </c>
      <c r="C103" s="22">
        <v>203</v>
      </c>
      <c r="D103" s="22" t="s">
        <v>103</v>
      </c>
      <c r="E103" s="22">
        <v>8</v>
      </c>
      <c r="F103" s="25">
        <v>43842</v>
      </c>
      <c r="G103" s="22">
        <v>1</v>
      </c>
      <c r="H103" s="22" t="str">
        <f>CONCATENATE(Table1[[#This Row],[Order Code]],Table1[[#This Row],[NAME]])</f>
        <v>203エコマックスAN(15K) 青</v>
      </c>
    </row>
    <row r="104" spans="1:8" ht="20">
      <c r="A104" s="24">
        <v>103</v>
      </c>
      <c r="B104" s="22" t="s">
        <v>22</v>
      </c>
      <c r="C104" s="22">
        <v>203</v>
      </c>
      <c r="D104" s="22" t="s">
        <v>104</v>
      </c>
      <c r="E104" s="22">
        <v>7</v>
      </c>
      <c r="F104" s="25">
        <v>43818</v>
      </c>
      <c r="G104" s="22"/>
      <c r="H104" s="22" t="str">
        <f>CONCATENATE(Table1[[#This Row],[Order Code]],Table1[[#This Row],[NAME]])</f>
        <v>203エビトーム　青</v>
      </c>
    </row>
    <row r="105" spans="1:8" ht="20">
      <c r="A105" s="24">
        <v>104</v>
      </c>
      <c r="B105" s="22" t="s">
        <v>22</v>
      </c>
      <c r="C105" s="22">
        <v>202</v>
      </c>
      <c r="D105" s="22" t="s">
        <v>105</v>
      </c>
      <c r="E105" s="22">
        <v>8</v>
      </c>
      <c r="F105" s="25">
        <v>43824</v>
      </c>
      <c r="G105" s="22"/>
      <c r="H105" s="22" t="str">
        <f>CONCATENATE(Table1[[#This Row],[Order Code]],Table1[[#This Row],[NAME]])</f>
        <v>202ニューボン　S20W 青</v>
      </c>
    </row>
    <row r="106" spans="1:8" ht="20">
      <c r="A106" s="24">
        <v>105</v>
      </c>
      <c r="B106" s="22" t="s">
        <v>22</v>
      </c>
      <c r="C106" s="22">
        <v>202</v>
      </c>
      <c r="D106" s="22" t="s">
        <v>106</v>
      </c>
      <c r="E106" s="22">
        <v>8</v>
      </c>
      <c r="F106" s="25">
        <v>43571</v>
      </c>
      <c r="G106" s="22">
        <v>1</v>
      </c>
      <c r="H106" s="22" t="str">
        <f>CONCATENATE(Table1[[#This Row],[Order Code]],Table1[[#This Row],[NAME]])</f>
        <v>202エストラル　水色</v>
      </c>
    </row>
    <row r="107" spans="1:8" ht="20">
      <c r="A107" s="24">
        <v>106</v>
      </c>
      <c r="B107" s="22" t="s">
        <v>22</v>
      </c>
      <c r="C107" s="22">
        <v>213</v>
      </c>
      <c r="D107" s="22" t="s">
        <v>107</v>
      </c>
      <c r="E107" s="22">
        <v>8</v>
      </c>
      <c r="F107" s="25">
        <v>43677</v>
      </c>
      <c r="G107" s="22">
        <v>1</v>
      </c>
      <c r="H107" s="22" t="str">
        <f>CONCATENATE(Table1[[#This Row],[Order Code]],Table1[[#This Row],[NAME]])</f>
        <v>213エコスマイル LQ22 青</v>
      </c>
    </row>
    <row r="108" spans="1:8" ht="20">
      <c r="A108" s="24">
        <v>107</v>
      </c>
      <c r="B108" s="22" t="s">
        <v>22</v>
      </c>
      <c r="C108" s="22">
        <v>103</v>
      </c>
      <c r="D108" s="22" t="s">
        <v>108</v>
      </c>
      <c r="E108" s="22">
        <v>5</v>
      </c>
      <c r="F108" s="25">
        <v>43687</v>
      </c>
      <c r="G108" s="22"/>
      <c r="H108" s="22" t="str">
        <f>CONCATENATE(Table1[[#This Row],[Order Code]],Table1[[#This Row],[NAME]])</f>
        <v>103ユタカ　黄緑</v>
      </c>
    </row>
    <row r="109" spans="1:8" ht="20">
      <c r="A109" s="24">
        <v>108</v>
      </c>
      <c r="B109" s="22" t="s">
        <v>22</v>
      </c>
      <c r="C109" s="22">
        <v>103</v>
      </c>
      <c r="D109" s="22" t="s">
        <v>109</v>
      </c>
      <c r="E109" s="22">
        <v>5</v>
      </c>
      <c r="F109" s="25">
        <v>43770</v>
      </c>
      <c r="G109" s="22"/>
      <c r="H109" s="22" t="str">
        <f>CONCATENATE(Table1[[#This Row],[Order Code]],Table1[[#This Row],[NAME]])</f>
        <v>103D-2568 緑</v>
      </c>
    </row>
    <row r="110" spans="1:8" ht="20">
      <c r="A110" s="24">
        <v>109</v>
      </c>
      <c r="B110" s="22" t="s">
        <v>22</v>
      </c>
      <c r="C110" s="22">
        <v>103</v>
      </c>
      <c r="D110" s="22" t="s">
        <v>109</v>
      </c>
      <c r="E110" s="22">
        <v>5</v>
      </c>
      <c r="F110" s="25">
        <v>43837</v>
      </c>
      <c r="G110" s="22"/>
      <c r="H110" s="22" t="str">
        <f>CONCATENATE(Table1[[#This Row],[Order Code]],Table1[[#This Row],[NAME]])</f>
        <v>103D-2568 緑</v>
      </c>
    </row>
    <row r="111" spans="1:8" ht="20">
      <c r="A111" s="24">
        <v>110</v>
      </c>
      <c r="B111" s="22" t="s">
        <v>22</v>
      </c>
      <c r="C111" s="22">
        <v>103</v>
      </c>
      <c r="D111" s="22" t="s">
        <v>94</v>
      </c>
      <c r="E111" s="22">
        <v>5</v>
      </c>
      <c r="F111" s="25">
        <v>43272</v>
      </c>
      <c r="G111" s="22">
        <v>1</v>
      </c>
      <c r="H111" s="22" t="str">
        <f>CONCATENATE(Table1[[#This Row],[Order Code]],Table1[[#This Row],[NAME]])</f>
        <v>103D-638 緑</v>
      </c>
    </row>
    <row r="112" spans="1:8" ht="20">
      <c r="A112" s="24">
        <v>111</v>
      </c>
      <c r="B112" s="22" t="s">
        <v>22</v>
      </c>
      <c r="C112" s="22">
        <v>153</v>
      </c>
      <c r="D112" s="22" t="s">
        <v>110</v>
      </c>
      <c r="E112" s="22">
        <v>6</v>
      </c>
      <c r="F112" s="25">
        <v>43742</v>
      </c>
      <c r="G112" s="22">
        <v>1</v>
      </c>
      <c r="H112" s="22" t="str">
        <f>CONCATENATE(Table1[[#This Row],[Order Code]],Table1[[#This Row],[NAME]])</f>
        <v>153D-2560 緑</v>
      </c>
    </row>
    <row r="113" spans="1:8" ht="20">
      <c r="A113" s="24">
        <v>112</v>
      </c>
      <c r="B113" s="22" t="s">
        <v>22</v>
      </c>
      <c r="C113" s="22">
        <v>153</v>
      </c>
      <c r="D113" s="22" t="s">
        <v>110</v>
      </c>
      <c r="E113" s="22">
        <v>4</v>
      </c>
      <c r="F113" s="25">
        <v>43616</v>
      </c>
      <c r="G113" s="22">
        <v>1</v>
      </c>
      <c r="H113" s="22" t="str">
        <f>CONCATENATE(Table1[[#This Row],[Order Code]],Table1[[#This Row],[NAME]])</f>
        <v>153D-2560 緑</v>
      </c>
    </row>
    <row r="114" spans="1:8" ht="20">
      <c r="A114" s="24">
        <v>113</v>
      </c>
      <c r="B114" s="22" t="s">
        <v>22</v>
      </c>
      <c r="C114" s="22">
        <v>153</v>
      </c>
      <c r="D114" s="22" t="s">
        <v>110</v>
      </c>
      <c r="E114" s="22">
        <v>5</v>
      </c>
      <c r="F114" s="25">
        <v>43616</v>
      </c>
      <c r="G114" s="22">
        <v>1</v>
      </c>
      <c r="H114" s="22" t="str">
        <f>CONCATENATE(Table1[[#This Row],[Order Code]],Table1[[#This Row],[NAME]])</f>
        <v>153D-2560 緑</v>
      </c>
    </row>
    <row r="115" spans="1:8" ht="20">
      <c r="A115" s="24">
        <v>114</v>
      </c>
      <c r="B115" s="22" t="s">
        <v>22</v>
      </c>
      <c r="C115" s="22">
        <v>153</v>
      </c>
      <c r="D115" s="22" t="s">
        <v>110</v>
      </c>
      <c r="E115" s="22">
        <v>2</v>
      </c>
      <c r="F115" s="25">
        <v>43293</v>
      </c>
      <c r="G115" s="22">
        <v>1</v>
      </c>
      <c r="H115" s="22" t="str">
        <f>CONCATENATE(Table1[[#This Row],[Order Code]],Table1[[#This Row],[NAME]])</f>
        <v>153D-2560 緑</v>
      </c>
    </row>
    <row r="116" spans="1:8" ht="20">
      <c r="A116" s="24">
        <v>116</v>
      </c>
      <c r="B116" s="22" t="s">
        <v>22</v>
      </c>
      <c r="C116" s="22">
        <v>303</v>
      </c>
      <c r="D116" s="22" t="s">
        <v>111</v>
      </c>
      <c r="E116" s="22">
        <v>6</v>
      </c>
      <c r="F116" s="25">
        <v>43580</v>
      </c>
      <c r="G116" s="22">
        <v>1</v>
      </c>
      <c r="H116" s="22" t="str">
        <f>CONCATENATE(Table1[[#This Row],[Order Code]],Table1[[#This Row],[NAME]])</f>
        <v>303ドライスター  黄</v>
      </c>
    </row>
    <row r="117" spans="1:8" ht="20">
      <c r="A117" s="24">
        <v>117</v>
      </c>
      <c r="B117" s="22" t="s">
        <v>22</v>
      </c>
      <c r="C117" s="22">
        <v>313</v>
      </c>
      <c r="D117" s="22" t="s">
        <v>112</v>
      </c>
      <c r="E117" s="22">
        <v>8</v>
      </c>
      <c r="F117" s="25">
        <v>43679</v>
      </c>
      <c r="G117" s="22">
        <v>1</v>
      </c>
      <c r="H117" s="22" t="str">
        <f>CONCATENATE(Table1[[#This Row],[Order Code]],Table1[[#This Row],[NAME]])</f>
        <v>313ケアソフター17KG 黄</v>
      </c>
    </row>
    <row r="118" spans="1:8" ht="20">
      <c r="A118" s="24">
        <v>118</v>
      </c>
      <c r="B118" s="22" t="s">
        <v>22</v>
      </c>
      <c r="C118" s="22">
        <v>232</v>
      </c>
      <c r="D118" s="22" t="s">
        <v>113</v>
      </c>
      <c r="E118" s="22">
        <v>8</v>
      </c>
      <c r="F118" s="25">
        <v>43594</v>
      </c>
      <c r="G118" s="22"/>
      <c r="H118" s="22" t="str">
        <f>CONCATENATE(Table1[[#This Row],[Order Code]],Table1[[#This Row],[NAME]])</f>
        <v>232STERISH A105(5L) 黄</v>
      </c>
    </row>
    <row r="119" spans="1:8" ht="20">
      <c r="A119" s="24">
        <v>119</v>
      </c>
      <c r="B119" s="22" t="s">
        <v>22</v>
      </c>
      <c r="C119" s="22">
        <v>323</v>
      </c>
      <c r="D119" s="22" t="s">
        <v>113</v>
      </c>
      <c r="E119" s="22">
        <v>8</v>
      </c>
      <c r="F119" s="25">
        <v>43858</v>
      </c>
      <c r="G119" s="22"/>
      <c r="H119" s="22" t="str">
        <f>CONCATENATE(Table1[[#This Row],[Order Code]],Table1[[#This Row],[NAME]])</f>
        <v>323STERISH A105(5L) 黄</v>
      </c>
    </row>
    <row r="120" spans="1:8" ht="20">
      <c r="A120" s="24">
        <v>120</v>
      </c>
      <c r="B120" s="22" t="s">
        <v>22</v>
      </c>
      <c r="C120" s="22">
        <v>293</v>
      </c>
      <c r="D120" s="22" t="s">
        <v>114</v>
      </c>
      <c r="E120" s="22">
        <v>8</v>
      </c>
      <c r="F120" s="25">
        <v>43605</v>
      </c>
      <c r="G120" s="22"/>
      <c r="H120" s="22" t="str">
        <f>CONCATENATE(Table1[[#This Row],[Order Code]],Table1[[#This Row],[NAME]])</f>
        <v>293トリノユサン表　黄</v>
      </c>
    </row>
    <row r="121" spans="1:8" ht="20">
      <c r="A121" s="24">
        <v>121</v>
      </c>
      <c r="B121" s="22" t="s">
        <v>22</v>
      </c>
      <c r="C121" s="22">
        <v>343</v>
      </c>
      <c r="D121" s="22" t="s">
        <v>115</v>
      </c>
      <c r="E121" s="22">
        <v>6</v>
      </c>
      <c r="F121" s="25">
        <v>42710</v>
      </c>
      <c r="G121" s="22"/>
      <c r="H121" s="22" t="str">
        <f>CONCATENATE(Table1[[#This Row],[Order Code]],Table1[[#This Row],[NAME]])</f>
        <v>343D-164 黄土(コート)</v>
      </c>
    </row>
    <row r="122" spans="1:8" ht="20">
      <c r="A122" s="24">
        <v>122</v>
      </c>
      <c r="B122" s="22" t="s">
        <v>22</v>
      </c>
      <c r="C122" s="22">
        <v>343</v>
      </c>
      <c r="D122" s="22" t="s">
        <v>116</v>
      </c>
      <c r="E122" s="22">
        <v>8</v>
      </c>
      <c r="F122" s="25">
        <v>43699</v>
      </c>
      <c r="G122" s="22">
        <v>1</v>
      </c>
      <c r="H122" s="22" t="str">
        <f>CONCATENATE(Table1[[#This Row],[Order Code]],Table1[[#This Row],[NAME]])</f>
        <v>343D-570 黄</v>
      </c>
    </row>
    <row r="123" spans="1:8" ht="20">
      <c r="A123" s="24">
        <v>123</v>
      </c>
      <c r="B123" s="22" t="s">
        <v>22</v>
      </c>
      <c r="C123" s="22">
        <v>283</v>
      </c>
      <c r="D123" s="22" t="s">
        <v>117</v>
      </c>
      <c r="E123" s="22">
        <v>8</v>
      </c>
      <c r="F123" s="25">
        <v>43732</v>
      </c>
      <c r="G123" s="22">
        <v>1</v>
      </c>
      <c r="H123" s="22" t="str">
        <f>CONCATENATE(Table1[[#This Row],[Order Code]],Table1[[#This Row],[NAME]])</f>
        <v>283ルピランソープ　黄</v>
      </c>
    </row>
    <row r="124" spans="1:8" ht="20">
      <c r="A124" s="24">
        <v>124</v>
      </c>
      <c r="B124" s="22" t="s">
        <v>22</v>
      </c>
      <c r="C124" s="22">
        <v>333</v>
      </c>
      <c r="D124" s="22" t="s">
        <v>118</v>
      </c>
      <c r="E124" s="22">
        <v>8</v>
      </c>
      <c r="F124" s="25">
        <v>43742</v>
      </c>
      <c r="G124" s="22"/>
      <c r="H124" s="22" t="str">
        <f>CONCATENATE(Table1[[#This Row],[Order Code]],Table1[[#This Row],[NAME]])</f>
        <v>333ルピランソーフター　黄</v>
      </c>
    </row>
    <row r="125" spans="1:8" ht="20">
      <c r="A125" s="24">
        <v>125</v>
      </c>
      <c r="B125" s="22" t="s">
        <v>22</v>
      </c>
      <c r="C125" s="22">
        <v>343</v>
      </c>
      <c r="D125" s="22" t="s">
        <v>119</v>
      </c>
      <c r="E125" s="22">
        <v>8</v>
      </c>
      <c r="F125" s="25">
        <v>43602</v>
      </c>
      <c r="G125" s="22"/>
      <c r="H125" s="22" t="str">
        <f>CONCATENATE(Table1[[#This Row],[Order Code]],Table1[[#This Row],[NAME]])</f>
        <v>343テクノザイム401 黄</v>
      </c>
    </row>
    <row r="126" spans="1:8" ht="20">
      <c r="A126" s="24">
        <v>126</v>
      </c>
      <c r="B126" s="22" t="s">
        <v>22</v>
      </c>
      <c r="C126" s="22">
        <v>313</v>
      </c>
      <c r="D126" s="22" t="s">
        <v>249</v>
      </c>
      <c r="E126" s="22">
        <v>8</v>
      </c>
      <c r="F126" s="25">
        <v>43770</v>
      </c>
      <c r="G126" s="22"/>
      <c r="H126" s="22" t="str">
        <f>CONCATENATE(Table1[[#This Row],[Order Code]],Table1[[#This Row],[NAME]])</f>
        <v>313パルトナソフター　黄土</v>
      </c>
    </row>
    <row r="127" spans="1:8" ht="20">
      <c r="A127" s="24">
        <v>127</v>
      </c>
      <c r="B127" s="22" t="s">
        <v>22</v>
      </c>
      <c r="C127" s="22">
        <v>313</v>
      </c>
      <c r="D127" s="22" t="s">
        <v>120</v>
      </c>
      <c r="E127" s="22">
        <v>8</v>
      </c>
      <c r="F127" s="25">
        <v>43712</v>
      </c>
      <c r="G127" s="22">
        <v>1</v>
      </c>
      <c r="H127" s="22" t="str">
        <f>CONCATENATE(Table1[[#This Row],[Order Code]],Table1[[#This Row],[NAME]])</f>
        <v>313ユタカ　黄</v>
      </c>
    </row>
    <row r="128" spans="1:8" ht="20">
      <c r="A128" s="24">
        <v>128</v>
      </c>
      <c r="B128" s="22" t="s">
        <v>22</v>
      </c>
      <c r="C128" s="22">
        <v>333</v>
      </c>
      <c r="D128" s="22" t="s">
        <v>121</v>
      </c>
      <c r="E128" s="22">
        <v>8</v>
      </c>
      <c r="F128" s="25">
        <v>43756</v>
      </c>
      <c r="G128" s="22">
        <v>1</v>
      </c>
      <c r="H128" s="22" t="str">
        <f>CONCATENATE(Table1[[#This Row],[Order Code]],Table1[[#This Row],[NAME]])</f>
        <v>333ニッカサンブリーチ　黄</v>
      </c>
    </row>
    <row r="129" spans="1:8" ht="20">
      <c r="A129" s="24">
        <v>129</v>
      </c>
      <c r="B129" s="22" t="s">
        <v>22</v>
      </c>
      <c r="C129" s="22">
        <v>333</v>
      </c>
      <c r="D129" s="22" t="s">
        <v>122</v>
      </c>
      <c r="E129" s="22">
        <v>8</v>
      </c>
      <c r="F129" s="25">
        <v>43759</v>
      </c>
      <c r="G129" s="22">
        <v>1</v>
      </c>
      <c r="H129" s="22" t="str">
        <f>CONCATENATE(Table1[[#This Row],[Order Code]],Table1[[#This Row],[NAME]])</f>
        <v>333酸素系NA05 黄</v>
      </c>
    </row>
    <row r="130" spans="1:8" ht="20">
      <c r="A130" s="24">
        <v>130</v>
      </c>
      <c r="B130" s="22" t="s">
        <v>22</v>
      </c>
      <c r="C130" s="22">
        <v>373</v>
      </c>
      <c r="D130" s="22" t="s">
        <v>123</v>
      </c>
      <c r="E130" s="22">
        <v>8</v>
      </c>
      <c r="F130" s="25">
        <v>43742</v>
      </c>
      <c r="G130" s="22">
        <v>1</v>
      </c>
      <c r="H130" s="22" t="str">
        <f>CONCATENATE(Table1[[#This Row],[Order Code]],Table1[[#This Row],[NAME]])</f>
        <v>373ルピランソフター　ピンク</v>
      </c>
    </row>
    <row r="131" spans="1:8" ht="20">
      <c r="A131" s="24">
        <v>131</v>
      </c>
      <c r="B131" s="22" t="s">
        <v>22</v>
      </c>
      <c r="C131" s="22">
        <v>283</v>
      </c>
      <c r="D131" s="22" t="s">
        <v>123</v>
      </c>
      <c r="E131" s="22">
        <v>8</v>
      </c>
      <c r="F131" s="25">
        <v>43742</v>
      </c>
      <c r="G131" s="22">
        <v>1</v>
      </c>
      <c r="H131" s="22" t="str">
        <f>CONCATENATE(Table1[[#This Row],[Order Code]],Table1[[#This Row],[NAME]])</f>
        <v>283ルピランソフター　ピンク</v>
      </c>
    </row>
    <row r="132" spans="1:8" ht="20">
      <c r="A132" s="24">
        <v>132</v>
      </c>
      <c r="B132" s="22" t="s">
        <v>22</v>
      </c>
      <c r="C132" s="22">
        <v>373</v>
      </c>
      <c r="D132" s="22" t="s">
        <v>123</v>
      </c>
      <c r="E132" s="22">
        <v>8</v>
      </c>
      <c r="F132" s="25">
        <v>43571</v>
      </c>
      <c r="G132" s="22">
        <v>1</v>
      </c>
      <c r="H132" s="22" t="str">
        <f>CONCATENATE(Table1[[#This Row],[Order Code]],Table1[[#This Row],[NAME]])</f>
        <v>373ルピランソフター　ピンク</v>
      </c>
    </row>
    <row r="133" spans="1:8" ht="20">
      <c r="A133" s="24">
        <v>133</v>
      </c>
      <c r="B133" s="22" t="s">
        <v>22</v>
      </c>
      <c r="C133" s="22">
        <v>383</v>
      </c>
      <c r="D133" s="22" t="s">
        <v>124</v>
      </c>
      <c r="E133" s="22">
        <v>6</v>
      </c>
      <c r="F133" s="25">
        <v>42667</v>
      </c>
      <c r="G133" s="22"/>
      <c r="H133" s="22" t="str">
        <f>CONCATENATE(Table1[[#This Row],[Order Code]],Table1[[#This Row],[NAME]])</f>
        <v>383D-276 ピンク(コート）</v>
      </c>
    </row>
    <row r="134" spans="1:8" ht="20">
      <c r="A134" s="24">
        <v>134</v>
      </c>
      <c r="B134" s="22" t="s">
        <v>22</v>
      </c>
      <c r="C134" s="22">
        <v>383</v>
      </c>
      <c r="D134" s="22" t="s">
        <v>30</v>
      </c>
      <c r="E134" s="22">
        <v>8</v>
      </c>
      <c r="F134" s="25">
        <v>43746</v>
      </c>
      <c r="G134" s="22"/>
      <c r="H134" s="22" t="str">
        <f>CONCATENATE(Table1[[#This Row],[Order Code]],Table1[[#This Row],[NAME]])</f>
        <v>383D-276 ピンク</v>
      </c>
    </row>
    <row r="135" spans="1:8" ht="20">
      <c r="A135" s="24">
        <v>135</v>
      </c>
      <c r="B135" s="22" t="s">
        <v>22</v>
      </c>
      <c r="C135" s="22"/>
      <c r="D135" s="22" t="s">
        <v>125</v>
      </c>
      <c r="E135" s="22"/>
      <c r="F135" s="22" t="s">
        <v>126</v>
      </c>
      <c r="G135" s="22"/>
      <c r="H135" s="22" t="str">
        <f>CONCATENATE(Table1[[#This Row],[Order Code]],Table1[[#This Row],[NAME]])</f>
        <v>カイトコイン</v>
      </c>
    </row>
    <row r="136" spans="1:8" ht="20">
      <c r="A136" s="24">
        <v>136</v>
      </c>
      <c r="B136" s="22" t="s">
        <v>22</v>
      </c>
      <c r="C136" s="22"/>
      <c r="D136" s="22" t="s">
        <v>125</v>
      </c>
      <c r="E136" s="22"/>
      <c r="F136" s="22" t="s">
        <v>126</v>
      </c>
      <c r="G136" s="22"/>
      <c r="H136" s="22" t="str">
        <f>CONCATENATE(Table1[[#This Row],[Order Code]],Table1[[#This Row],[NAME]])</f>
        <v>カイトコイン</v>
      </c>
    </row>
    <row r="137" spans="1:8" ht="20">
      <c r="A137" s="24">
        <v>137</v>
      </c>
      <c r="B137" s="22" t="s">
        <v>22</v>
      </c>
      <c r="C137" s="22">
        <v>3103</v>
      </c>
      <c r="D137" s="22" t="s">
        <v>81</v>
      </c>
      <c r="E137" s="22">
        <v>7</v>
      </c>
      <c r="F137" s="25">
        <v>43742</v>
      </c>
      <c r="G137" s="22">
        <v>1</v>
      </c>
      <c r="H137" s="22" t="str">
        <f>CONCATENATE(Table1[[#This Row],[Order Code]],Table1[[#This Row],[NAME]])</f>
        <v>3103D-156 赤</v>
      </c>
    </row>
    <row r="138" spans="1:8" ht="20">
      <c r="A138" s="24">
        <v>138</v>
      </c>
      <c r="B138" s="22" t="s">
        <v>22</v>
      </c>
      <c r="C138" s="22">
        <v>3103</v>
      </c>
      <c r="D138" s="22" t="s">
        <v>81</v>
      </c>
      <c r="E138" s="22">
        <v>6</v>
      </c>
      <c r="F138" s="25">
        <v>43482</v>
      </c>
      <c r="G138" s="22">
        <v>1</v>
      </c>
      <c r="H138" s="22" t="str">
        <f>CONCATENATE(Table1[[#This Row],[Order Code]],Table1[[#This Row],[NAME]])</f>
        <v>3103D-156 赤</v>
      </c>
    </row>
    <row r="139" spans="1:8" ht="20">
      <c r="A139" s="24">
        <v>140</v>
      </c>
      <c r="B139" s="22" t="s">
        <v>22</v>
      </c>
      <c r="C139" s="22">
        <v>212</v>
      </c>
      <c r="D139" s="22" t="s">
        <v>127</v>
      </c>
      <c r="E139" s="22">
        <v>8</v>
      </c>
      <c r="F139" s="25">
        <v>43573</v>
      </c>
      <c r="G139" s="22">
        <v>1</v>
      </c>
      <c r="H139" s="22" t="str">
        <f>CONCATENATE(Table1[[#This Row],[Order Code]],Table1[[#This Row],[NAME]])</f>
        <v>212エストラル　青</v>
      </c>
    </row>
    <row r="140" spans="1:8" ht="20">
      <c r="A140" s="24">
        <v>141</v>
      </c>
      <c r="B140" s="22" t="s">
        <v>22</v>
      </c>
      <c r="C140" s="22">
        <v>212</v>
      </c>
      <c r="D140" s="22" t="s">
        <v>128</v>
      </c>
      <c r="E140" s="22">
        <v>8</v>
      </c>
      <c r="F140" s="25">
        <v>43677</v>
      </c>
      <c r="G140" s="22">
        <v>1</v>
      </c>
      <c r="H140" s="22" t="str">
        <f>CONCATENATE(Table1[[#This Row],[Order Code]],Table1[[#This Row],[NAME]])</f>
        <v>212シーテックK 水色</v>
      </c>
    </row>
    <row r="141" spans="1:8" ht="20">
      <c r="A141" s="24">
        <v>142</v>
      </c>
      <c r="B141" s="22" t="s">
        <v>22</v>
      </c>
      <c r="C141" s="22">
        <v>212</v>
      </c>
      <c r="D141" s="22" t="s">
        <v>244</v>
      </c>
      <c r="E141" s="22">
        <v>8</v>
      </c>
      <c r="F141" s="25">
        <v>43679</v>
      </c>
      <c r="G141" s="22">
        <v>1</v>
      </c>
      <c r="H141" s="22" t="str">
        <f>CONCATENATE(Table1[[#This Row],[Order Code]],Table1[[#This Row],[NAME]])</f>
        <v>212テクノクリアN5L 水色 D2166?</v>
      </c>
    </row>
    <row r="142" spans="1:8" ht="20">
      <c r="A142" s="24">
        <v>143</v>
      </c>
      <c r="B142" s="22" t="s">
        <v>22</v>
      </c>
      <c r="C142" s="22">
        <v>222</v>
      </c>
      <c r="D142" s="22" t="s">
        <v>56</v>
      </c>
      <c r="E142" s="22">
        <v>8</v>
      </c>
      <c r="F142" s="25">
        <v>43616</v>
      </c>
      <c r="G142" s="22"/>
      <c r="H142" s="22" t="str">
        <f>CONCATENATE(Table1[[#This Row],[Order Code]],Table1[[#This Row],[NAME]])</f>
        <v>222D-181 青</v>
      </c>
    </row>
    <row r="143" spans="1:8" ht="20">
      <c r="A143" s="24">
        <v>144</v>
      </c>
      <c r="B143" s="22" t="s">
        <v>22</v>
      </c>
      <c r="C143" s="22">
        <v>293</v>
      </c>
      <c r="D143" s="22" t="s">
        <v>129</v>
      </c>
      <c r="E143" s="22">
        <v>6</v>
      </c>
      <c r="F143" s="25">
        <v>43747</v>
      </c>
      <c r="G143" s="22">
        <v>1</v>
      </c>
      <c r="H143" s="22" t="str">
        <f>CONCATENATE(Table1[[#This Row],[Order Code]],Table1[[#This Row],[NAME]])</f>
        <v>293トリノコサン　青</v>
      </c>
    </row>
    <row r="144" spans="1:8" ht="20">
      <c r="A144" s="24">
        <v>145</v>
      </c>
      <c r="B144" s="22" t="s">
        <v>22</v>
      </c>
      <c r="C144" s="22">
        <v>232</v>
      </c>
      <c r="D144" s="22" t="s">
        <v>130</v>
      </c>
      <c r="E144" s="22">
        <v>8</v>
      </c>
      <c r="F144" s="25">
        <v>43756</v>
      </c>
      <c r="G144" s="22">
        <v>1</v>
      </c>
      <c r="H144" s="22" t="str">
        <f>CONCATENATE(Table1[[#This Row],[Order Code]],Table1[[#This Row],[NAME]])</f>
        <v>232ニッカサンブリーチ　青</v>
      </c>
    </row>
    <row r="145" spans="1:8" ht="20">
      <c r="A145" s="24">
        <v>146</v>
      </c>
      <c r="B145" s="22" t="s">
        <v>22</v>
      </c>
      <c r="C145" s="22">
        <v>232</v>
      </c>
      <c r="D145" s="22" t="s">
        <v>131</v>
      </c>
      <c r="E145" s="22">
        <v>8</v>
      </c>
      <c r="F145" s="25">
        <v>43612</v>
      </c>
      <c r="G145" s="22"/>
      <c r="H145" s="22" t="str">
        <f>CONCATENATE(Table1[[#This Row],[Order Code]],Table1[[#This Row],[NAME]])</f>
        <v>232STERISH N104(4L）　水色</v>
      </c>
    </row>
    <row r="146" spans="1:8" ht="20">
      <c r="A146" s="24">
        <v>147</v>
      </c>
      <c r="B146" s="22" t="s">
        <v>22</v>
      </c>
      <c r="C146" s="22">
        <v>323</v>
      </c>
      <c r="D146" s="22" t="s">
        <v>132</v>
      </c>
      <c r="E146" s="22">
        <v>6</v>
      </c>
      <c r="F146" s="25">
        <v>43594</v>
      </c>
      <c r="G146" s="22"/>
      <c r="H146" s="22" t="str">
        <f>CONCATENATE(Table1[[#This Row],[Order Code]],Table1[[#This Row],[NAME]])</f>
        <v>323STERISH N105(5L) 青</v>
      </c>
    </row>
    <row r="147" spans="1:8" ht="20">
      <c r="A147" s="24">
        <v>148</v>
      </c>
      <c r="B147" s="22" t="s">
        <v>22</v>
      </c>
      <c r="C147" s="22">
        <v>252</v>
      </c>
      <c r="D147" s="22" t="s">
        <v>133</v>
      </c>
      <c r="E147" s="22" t="s">
        <v>47</v>
      </c>
      <c r="F147" s="25">
        <v>43573</v>
      </c>
      <c r="G147" s="22">
        <v>1</v>
      </c>
      <c r="H147" s="22" t="str">
        <f>CONCATENATE(Table1[[#This Row],[Order Code]],Table1[[#This Row],[NAME]])</f>
        <v>252アトムベッド　青</v>
      </c>
    </row>
    <row r="148" spans="1:8" ht="20">
      <c r="A148" s="24">
        <v>149</v>
      </c>
      <c r="B148" s="22" t="s">
        <v>22</v>
      </c>
      <c r="C148" s="22">
        <v>242</v>
      </c>
      <c r="D148" s="22" t="s">
        <v>134</v>
      </c>
      <c r="E148" s="22">
        <v>4</v>
      </c>
      <c r="F148" s="25">
        <v>43151</v>
      </c>
      <c r="G148" s="22"/>
      <c r="H148" s="22" t="str">
        <f>CONCATENATE(Table1[[#This Row],[Order Code]],Table1[[#This Row],[NAME]])</f>
        <v>242ユタカ　水色</v>
      </c>
    </row>
    <row r="149" spans="1:8" ht="20">
      <c r="A149" s="24">
        <v>150</v>
      </c>
      <c r="B149" s="22" t="s">
        <v>22</v>
      </c>
      <c r="C149" s="22">
        <v>242</v>
      </c>
      <c r="D149" s="22" t="s">
        <v>135</v>
      </c>
      <c r="E149" s="22">
        <v>6</v>
      </c>
      <c r="F149" s="25">
        <v>43590</v>
      </c>
      <c r="G149" s="22">
        <v>1</v>
      </c>
      <c r="H149" s="22" t="str">
        <f>CONCATENATE(Table1[[#This Row],[Order Code]],Table1[[#This Row],[NAME]])</f>
        <v>242メディカール NX20 青</v>
      </c>
    </row>
    <row r="150" spans="1:8" ht="20">
      <c r="A150" s="24">
        <v>151</v>
      </c>
      <c r="B150" s="22" t="s">
        <v>22</v>
      </c>
      <c r="C150" s="22">
        <v>252</v>
      </c>
      <c r="D150" s="22" t="s">
        <v>136</v>
      </c>
      <c r="E150" s="22">
        <v>4</v>
      </c>
      <c r="F150" s="25">
        <v>43621</v>
      </c>
      <c r="G150" s="22">
        <v>1</v>
      </c>
      <c r="H150" s="22" t="str">
        <f>CONCATENATE(Table1[[#This Row],[Order Code]],Table1[[#This Row],[NAME]])</f>
        <v>252ソーピーセブン　紺</v>
      </c>
    </row>
    <row r="151" spans="1:8" ht="20">
      <c r="A151" s="24">
        <v>152</v>
      </c>
      <c r="B151" s="22" t="s">
        <v>22</v>
      </c>
      <c r="C151" s="22">
        <v>252</v>
      </c>
      <c r="D151" s="22" t="s">
        <v>137</v>
      </c>
      <c r="E151" s="22">
        <v>6</v>
      </c>
      <c r="F151" s="25">
        <v>43707</v>
      </c>
      <c r="G151" s="22">
        <v>1</v>
      </c>
      <c r="H151" s="22" t="str">
        <f>CONCATENATE(Table1[[#This Row],[Order Code]],Table1[[#This Row],[NAME]])</f>
        <v>252シプロ化成　紺藍</v>
      </c>
    </row>
    <row r="152" spans="1:8" ht="20">
      <c r="A152" s="24">
        <v>153</v>
      </c>
      <c r="B152" s="22" t="s">
        <v>22</v>
      </c>
      <c r="C152" s="22">
        <v>262</v>
      </c>
      <c r="D152" s="22" t="s">
        <v>138</v>
      </c>
      <c r="E152" s="22">
        <v>3</v>
      </c>
      <c r="F152" s="25">
        <v>43746</v>
      </c>
      <c r="G152" s="22">
        <v>1</v>
      </c>
      <c r="H152" s="22" t="str">
        <f>CONCATENATE(Table1[[#This Row],[Order Code]],Table1[[#This Row],[NAME]])</f>
        <v>262ニッカサンブリーチ　紺</v>
      </c>
    </row>
    <row r="153" spans="1:8" ht="20">
      <c r="A153" s="24">
        <v>154</v>
      </c>
      <c r="B153" s="22" t="s">
        <v>22</v>
      </c>
      <c r="C153" s="22">
        <v>262</v>
      </c>
      <c r="D153" s="22" t="s">
        <v>139</v>
      </c>
      <c r="E153" s="22">
        <v>4</v>
      </c>
      <c r="F153" s="25">
        <v>43805</v>
      </c>
      <c r="G153" s="22">
        <v>1</v>
      </c>
      <c r="H153" s="22" t="str">
        <f>CONCATENATE(Table1[[#This Row],[Order Code]],Table1[[#This Row],[NAME]])</f>
        <v>262スペクトロ　紺</v>
      </c>
    </row>
    <row r="154" spans="1:8" ht="20">
      <c r="A154" s="24">
        <v>155</v>
      </c>
      <c r="B154" s="22" t="s">
        <v>22</v>
      </c>
      <c r="C154" s="22">
        <v>262</v>
      </c>
      <c r="D154" s="22" t="s">
        <v>100</v>
      </c>
      <c r="E154" s="22">
        <v>4</v>
      </c>
      <c r="F154" s="25">
        <v>43699</v>
      </c>
      <c r="G154" s="22"/>
      <c r="H154" s="22" t="str">
        <f>CONCATENATE(Table1[[#This Row],[Order Code]],Table1[[#This Row],[NAME]])</f>
        <v>262D-222 紺</v>
      </c>
    </row>
    <row r="155" spans="1:8" ht="20">
      <c r="A155" s="24">
        <v>156</v>
      </c>
      <c r="B155" s="22" t="s">
        <v>22</v>
      </c>
      <c r="C155" s="22">
        <v>272</v>
      </c>
      <c r="D155" s="22" t="s">
        <v>140</v>
      </c>
      <c r="E155" s="22">
        <v>9</v>
      </c>
      <c r="F155" s="25">
        <v>42769</v>
      </c>
      <c r="G155" s="22">
        <v>1</v>
      </c>
      <c r="H155" s="22" t="str">
        <f>CONCATENATE(Table1[[#This Row],[Order Code]],Table1[[#This Row],[NAME]])</f>
        <v>272UVカット　紺　500238</v>
      </c>
    </row>
    <row r="156" spans="1:8" ht="20">
      <c r="A156" s="24">
        <v>157</v>
      </c>
      <c r="B156" s="22" t="s">
        <v>22</v>
      </c>
      <c r="C156" s="22">
        <v>272</v>
      </c>
      <c r="D156" s="22" t="s">
        <v>140</v>
      </c>
      <c r="E156" s="22">
        <v>8</v>
      </c>
      <c r="F156" s="25">
        <v>43697</v>
      </c>
      <c r="G156" s="22">
        <v>1</v>
      </c>
      <c r="H156" s="22" t="str">
        <f>CONCATENATE(Table1[[#This Row],[Order Code]],Table1[[#This Row],[NAME]])</f>
        <v>272UVカット　紺　500238</v>
      </c>
    </row>
    <row r="157" spans="1:8" ht="20">
      <c r="A157" s="24">
        <v>158</v>
      </c>
      <c r="B157" s="22" t="s">
        <v>22</v>
      </c>
      <c r="C157" s="22">
        <v>272</v>
      </c>
      <c r="D157" s="22" t="s">
        <v>141</v>
      </c>
      <c r="E157" s="22">
        <v>7</v>
      </c>
      <c r="F157" s="25">
        <v>43742</v>
      </c>
      <c r="G157" s="22">
        <v>1</v>
      </c>
      <c r="H157" s="22" t="str">
        <f>CONCATENATE(Table1[[#This Row],[Order Code]],Table1[[#This Row],[NAME]])</f>
        <v>272VF365 紺</v>
      </c>
    </row>
    <row r="158" spans="1:8" ht="20">
      <c r="A158" s="24">
        <v>159</v>
      </c>
      <c r="B158" s="22" t="s">
        <v>22</v>
      </c>
      <c r="C158" s="22">
        <v>282</v>
      </c>
      <c r="D158" s="22" t="s">
        <v>142</v>
      </c>
      <c r="E158" s="22">
        <v>2</v>
      </c>
      <c r="F158" s="25">
        <v>43101</v>
      </c>
      <c r="G158" s="22">
        <v>1</v>
      </c>
      <c r="H158" s="22" t="str">
        <f>CONCATENATE(Table1[[#This Row],[Order Code]],Table1[[#This Row],[NAME]])</f>
        <v>282D-99 青</v>
      </c>
    </row>
    <row r="159" spans="1:8" ht="20">
      <c r="A159" s="24">
        <v>160</v>
      </c>
      <c r="B159" s="22" t="s">
        <v>22</v>
      </c>
      <c r="C159" s="22">
        <v>282</v>
      </c>
      <c r="D159" s="22" t="s">
        <v>126</v>
      </c>
      <c r="E159" s="22"/>
      <c r="F159" s="22" t="s">
        <v>126</v>
      </c>
      <c r="G159" s="22"/>
      <c r="H159" s="22" t="str">
        <f>CONCATENATE(Table1[[#This Row],[Order Code]],Table1[[#This Row],[NAME]])</f>
        <v>282NA</v>
      </c>
    </row>
    <row r="160" spans="1:8" ht="20">
      <c r="A160" s="24">
        <v>161</v>
      </c>
      <c r="B160" s="22" t="s">
        <v>22</v>
      </c>
      <c r="C160" s="22">
        <v>292</v>
      </c>
      <c r="D160" s="22" t="s">
        <v>143</v>
      </c>
      <c r="E160" s="22">
        <v>6</v>
      </c>
      <c r="F160" s="25">
        <v>43805</v>
      </c>
      <c r="G160" s="22">
        <v>1</v>
      </c>
      <c r="H160" s="22" t="str">
        <f>CONCATENATE(Table1[[#This Row],[Order Code]],Table1[[#This Row],[NAME]])</f>
        <v>292エクシート様　グレー</v>
      </c>
    </row>
    <row r="161" spans="1:8" ht="20">
      <c r="A161" s="24">
        <v>162</v>
      </c>
      <c r="B161" s="22" t="s">
        <v>22</v>
      </c>
      <c r="C161" s="22">
        <v>292</v>
      </c>
      <c r="D161" s="22" t="s">
        <v>144</v>
      </c>
      <c r="E161" s="22">
        <v>6</v>
      </c>
      <c r="F161" s="25">
        <v>43503</v>
      </c>
      <c r="G161" s="22"/>
      <c r="H161" s="22" t="str">
        <f>CONCATENATE(Table1[[#This Row],[Order Code]],Table1[[#This Row],[NAME]])</f>
        <v>292D-185 紺(コート）</v>
      </c>
    </row>
    <row r="162" spans="1:8" ht="20">
      <c r="A162" s="24">
        <v>163</v>
      </c>
      <c r="B162" s="22" t="s">
        <v>22</v>
      </c>
      <c r="C162" s="22">
        <v>2102</v>
      </c>
      <c r="D162" s="22" t="s">
        <v>145</v>
      </c>
      <c r="E162" s="22">
        <v>9</v>
      </c>
      <c r="F162" s="25">
        <v>43534</v>
      </c>
      <c r="G162" s="22"/>
      <c r="H162" s="22" t="str">
        <f>CONCATENATE(Table1[[#This Row],[Order Code]],Table1[[#This Row],[NAME]])</f>
        <v>2102カイトコイン　黄</v>
      </c>
    </row>
    <row r="163" spans="1:8" ht="20">
      <c r="A163" s="24">
        <v>164</v>
      </c>
      <c r="B163" s="22" t="s">
        <v>22</v>
      </c>
      <c r="C163" s="22">
        <v>2102</v>
      </c>
      <c r="D163" s="22" t="s">
        <v>146</v>
      </c>
      <c r="E163" s="22">
        <v>9</v>
      </c>
      <c r="F163" s="25">
        <v>43534</v>
      </c>
      <c r="G163" s="22"/>
      <c r="H163" s="22" t="str">
        <f>CONCATENATE(Table1[[#This Row],[Order Code]],Table1[[#This Row],[NAME]])</f>
        <v>2102カイトコイン　青</v>
      </c>
    </row>
    <row r="164" spans="1:8" ht="20">
      <c r="A164" s="24">
        <v>166</v>
      </c>
      <c r="B164" s="22" t="s">
        <v>22</v>
      </c>
      <c r="C164" s="22">
        <v>113</v>
      </c>
      <c r="D164" s="22" t="s">
        <v>147</v>
      </c>
      <c r="E164" s="22">
        <v>8</v>
      </c>
      <c r="F164" s="25">
        <v>43629</v>
      </c>
      <c r="G164" s="22">
        <v>1</v>
      </c>
      <c r="H164" s="22" t="str">
        <f>CONCATENATE(Table1[[#This Row],[Order Code]],Table1[[#This Row],[NAME]])</f>
        <v>113ユタカ500230 緑</v>
      </c>
    </row>
    <row r="165" spans="1:8" ht="20">
      <c r="A165" s="24">
        <v>167</v>
      </c>
      <c r="B165" s="22" t="s">
        <v>22</v>
      </c>
      <c r="C165" s="22">
        <v>113</v>
      </c>
      <c r="D165" s="22" t="s">
        <v>148</v>
      </c>
      <c r="E165" s="22">
        <v>8</v>
      </c>
      <c r="F165" s="25">
        <v>43628</v>
      </c>
      <c r="G165" s="22">
        <v>1</v>
      </c>
      <c r="H165" s="22" t="str">
        <f>CONCATENATE(Table1[[#This Row],[Order Code]],Table1[[#This Row],[NAME]])</f>
        <v>113ユタカ500228 緑</v>
      </c>
    </row>
    <row r="166" spans="1:8" ht="20">
      <c r="A166" s="24">
        <v>168</v>
      </c>
      <c r="B166" s="22" t="s">
        <v>22</v>
      </c>
      <c r="C166" s="22">
        <v>113</v>
      </c>
      <c r="D166" s="22" t="s">
        <v>237</v>
      </c>
      <c r="E166" s="22">
        <v>8</v>
      </c>
      <c r="F166" s="25">
        <v>43861</v>
      </c>
      <c r="G166" s="22">
        <v>1</v>
      </c>
      <c r="H166" s="22" t="str">
        <f>CONCATENATE(Table1[[#This Row],[Order Code]],Table1[[#This Row],[NAME]])</f>
        <v>113ユタカ花粉ホコリ　緑</v>
      </c>
    </row>
    <row r="167" spans="1:8" ht="20">
      <c r="A167" s="24">
        <v>169</v>
      </c>
      <c r="B167" s="22" t="s">
        <v>22</v>
      </c>
      <c r="C167" s="22">
        <v>173</v>
      </c>
      <c r="D167" s="22" t="s">
        <v>150</v>
      </c>
      <c r="E167" s="22">
        <v>8</v>
      </c>
      <c r="F167" s="25">
        <v>43719</v>
      </c>
      <c r="G167" s="22"/>
      <c r="H167" s="22" t="str">
        <f>CONCATENATE(Table1[[#This Row],[Order Code]],Table1[[#This Row],[NAME]])</f>
        <v>173日華　グリン</v>
      </c>
    </row>
    <row r="168" spans="1:8" ht="20">
      <c r="A168" s="24">
        <v>170</v>
      </c>
      <c r="B168" s="22" t="s">
        <v>22</v>
      </c>
      <c r="C168" s="22">
        <v>123</v>
      </c>
      <c r="D168" s="22" t="s">
        <v>151</v>
      </c>
      <c r="E168" s="22">
        <v>8</v>
      </c>
      <c r="F168" s="25">
        <v>43578</v>
      </c>
      <c r="G168" s="22">
        <v>1</v>
      </c>
      <c r="H168" s="22" t="str">
        <f>CONCATENATE(Table1[[#This Row],[Order Code]],Table1[[#This Row],[NAME]])</f>
        <v>123MUN760S 緑</v>
      </c>
    </row>
    <row r="169" spans="1:8" ht="20">
      <c r="A169" s="24">
        <v>171</v>
      </c>
      <c r="B169" s="22" t="s">
        <v>22</v>
      </c>
      <c r="C169" s="22">
        <v>123</v>
      </c>
      <c r="D169" s="22" t="s">
        <v>190</v>
      </c>
      <c r="E169" s="22">
        <v>6</v>
      </c>
      <c r="F169" s="25">
        <v>43697</v>
      </c>
      <c r="G169" s="22">
        <v>1</v>
      </c>
      <c r="H169" s="22" t="str">
        <f>CONCATENATE(Table1[[#This Row],[Order Code]],Table1[[#This Row],[NAME]])</f>
        <v>123UVカット　緑　500238</v>
      </c>
    </row>
    <row r="170" spans="1:8" ht="20">
      <c r="A170" s="24">
        <v>172</v>
      </c>
      <c r="B170" s="22" t="s">
        <v>22</v>
      </c>
      <c r="C170" s="22">
        <v>123</v>
      </c>
      <c r="D170" s="22" t="s">
        <v>190</v>
      </c>
      <c r="E170" s="22">
        <v>6</v>
      </c>
      <c r="F170" s="25">
        <v>43669</v>
      </c>
      <c r="G170" s="22">
        <v>1</v>
      </c>
      <c r="H170" s="22" t="str">
        <f>CONCATENATE(Table1[[#This Row],[Order Code]],Table1[[#This Row],[NAME]])</f>
        <v>123UVカット　緑　500238</v>
      </c>
    </row>
    <row r="171" spans="1:8" ht="20">
      <c r="A171" s="24">
        <v>173</v>
      </c>
      <c r="B171" s="22" t="s">
        <v>22</v>
      </c>
      <c r="C171" s="22">
        <v>113</v>
      </c>
      <c r="D171" s="22" t="s">
        <v>150</v>
      </c>
      <c r="E171" s="22">
        <v>8</v>
      </c>
      <c r="F171" s="25">
        <v>43774</v>
      </c>
      <c r="G171" s="22"/>
      <c r="H171" s="22" t="str">
        <f>CONCATENATE(Table1[[#This Row],[Order Code]],Table1[[#This Row],[NAME]])</f>
        <v>113日華　グリン</v>
      </c>
    </row>
    <row r="172" spans="1:8" ht="20">
      <c r="A172" s="24">
        <v>174</v>
      </c>
      <c r="B172" s="22" t="s">
        <v>22</v>
      </c>
      <c r="C172" s="22">
        <v>143</v>
      </c>
      <c r="D172" s="22" t="s">
        <v>152</v>
      </c>
      <c r="E172" s="22">
        <v>8</v>
      </c>
      <c r="F172" s="25">
        <v>43886</v>
      </c>
      <c r="G172" s="22">
        <v>1</v>
      </c>
      <c r="H172" s="22" t="str">
        <f>CONCATENATE(Table1[[#This Row],[Order Code]],Table1[[#This Row],[NAME]])</f>
        <v>143中性酵素SDNUーN4 緑</v>
      </c>
    </row>
    <row r="173" spans="1:8" ht="20">
      <c r="A173" s="24">
        <v>175</v>
      </c>
      <c r="B173" s="22" t="s">
        <v>22</v>
      </c>
      <c r="C173" s="22">
        <v>133</v>
      </c>
      <c r="D173" s="22" t="s">
        <v>153</v>
      </c>
      <c r="E173" s="22">
        <v>8</v>
      </c>
      <c r="F173" s="25">
        <v>43637</v>
      </c>
      <c r="G173" s="22"/>
      <c r="H173" s="22" t="str">
        <f>CONCATENATE(Table1[[#This Row],[Order Code]],Table1[[#This Row],[NAME]])</f>
        <v>133ワイドスキップS 緑</v>
      </c>
    </row>
    <row r="174" spans="1:8" ht="20">
      <c r="A174" s="24">
        <v>176</v>
      </c>
      <c r="B174" s="22" t="s">
        <v>22</v>
      </c>
      <c r="C174" s="22">
        <v>133</v>
      </c>
      <c r="D174" s="22" t="s">
        <v>154</v>
      </c>
      <c r="E174" s="22">
        <v>5</v>
      </c>
      <c r="F174" s="25">
        <v>43573</v>
      </c>
      <c r="G174" s="22">
        <v>1</v>
      </c>
      <c r="H174" s="22" t="str">
        <f>CONCATENATE(Table1[[#This Row],[Order Code]],Table1[[#This Row],[NAME]])</f>
        <v>133リポブライト　緑</v>
      </c>
    </row>
    <row r="175" spans="1:8" ht="20">
      <c r="A175" s="24">
        <v>177</v>
      </c>
      <c r="B175" s="22" t="s">
        <v>22</v>
      </c>
      <c r="C175" s="22">
        <v>133</v>
      </c>
      <c r="D175" s="22" t="s">
        <v>155</v>
      </c>
      <c r="E175" s="22">
        <v>8</v>
      </c>
      <c r="F175" s="25">
        <v>43668</v>
      </c>
      <c r="G175" s="22">
        <v>1</v>
      </c>
      <c r="H175" s="22" t="str">
        <f>CONCATENATE(Table1[[#This Row],[Order Code]],Table1[[#This Row],[NAME]])</f>
        <v>133エコティスパウダー　緑</v>
      </c>
    </row>
    <row r="176" spans="1:8" ht="20">
      <c r="A176" s="24">
        <v>178</v>
      </c>
      <c r="B176" s="22" t="s">
        <v>22</v>
      </c>
      <c r="C176" s="22">
        <v>133</v>
      </c>
      <c r="D176" s="22" t="s">
        <v>156</v>
      </c>
      <c r="E176" s="22">
        <v>6</v>
      </c>
      <c r="F176" s="25">
        <v>43605</v>
      </c>
      <c r="G176" s="22">
        <v>1</v>
      </c>
      <c r="H176" s="22" t="str">
        <f>CONCATENATE(Table1[[#This Row],[Order Code]],Table1[[#This Row],[NAME]])</f>
        <v>133エストラフGT33 緑</v>
      </c>
    </row>
    <row r="177" spans="1:8" ht="20">
      <c r="A177" s="24">
        <v>179</v>
      </c>
      <c r="B177" s="22" t="s">
        <v>22</v>
      </c>
      <c r="C177" s="22">
        <v>143</v>
      </c>
      <c r="D177" s="22" t="s">
        <v>157</v>
      </c>
      <c r="E177" s="22">
        <v>5</v>
      </c>
      <c r="F177" s="25">
        <v>43825</v>
      </c>
      <c r="G177" s="22">
        <v>1</v>
      </c>
      <c r="H177" s="22" t="str">
        <f>CONCATENATE(Table1[[#This Row],[Order Code]],Table1[[#This Row],[NAME]])</f>
        <v>143テクノソフターN 緑</v>
      </c>
    </row>
    <row r="178" spans="1:8" ht="20">
      <c r="A178" s="24">
        <v>180</v>
      </c>
      <c r="B178" s="22" t="s">
        <v>22</v>
      </c>
      <c r="C178" s="22">
        <v>143</v>
      </c>
      <c r="D178" s="22" t="s">
        <v>158</v>
      </c>
      <c r="E178" s="22">
        <v>8</v>
      </c>
      <c r="F178" s="25">
        <v>43796</v>
      </c>
      <c r="G178" s="22">
        <v>1</v>
      </c>
      <c r="H178" s="22" t="str">
        <f>CONCATENATE(Table1[[#This Row],[Order Code]],Table1[[#This Row],[NAME]])</f>
        <v>143P-369 C 緑</v>
      </c>
    </row>
    <row r="179" spans="1:8" ht="20">
      <c r="A179" s="24">
        <v>181</v>
      </c>
      <c r="B179" s="22" t="s">
        <v>22</v>
      </c>
      <c r="C179" s="22">
        <v>123</v>
      </c>
      <c r="D179" s="22" t="s">
        <v>159</v>
      </c>
      <c r="E179" s="22">
        <v>8</v>
      </c>
      <c r="F179" s="25">
        <v>43850</v>
      </c>
      <c r="G179" s="22">
        <v>1</v>
      </c>
      <c r="H179" s="22" t="str">
        <f>CONCATENATE(Table1[[#This Row],[Order Code]],Table1[[#This Row],[NAME]])</f>
        <v>123エコスマイル SJ(10K) 緑</v>
      </c>
    </row>
    <row r="180" spans="1:8" ht="20">
      <c r="A180" s="24">
        <v>182</v>
      </c>
      <c r="B180" s="22" t="s">
        <v>22</v>
      </c>
      <c r="C180" s="22">
        <v>183</v>
      </c>
      <c r="D180" s="22" t="s">
        <v>160</v>
      </c>
      <c r="E180" s="22">
        <v>8</v>
      </c>
      <c r="F180" s="25">
        <v>43668</v>
      </c>
      <c r="G180" s="22">
        <v>1</v>
      </c>
      <c r="H180" s="22" t="str">
        <f>CONCATENATE(Table1[[#This Row],[Order Code]],Table1[[#This Row],[NAME]])</f>
        <v>183エコティスパウダー 黄緑</v>
      </c>
    </row>
    <row r="181" spans="1:8" ht="20">
      <c r="A181" s="24">
        <v>183</v>
      </c>
      <c r="B181" s="22" t="s">
        <v>22</v>
      </c>
      <c r="C181" s="22">
        <v>163</v>
      </c>
      <c r="D181" s="22" t="s">
        <v>161</v>
      </c>
      <c r="E181" s="22">
        <v>6</v>
      </c>
      <c r="F181" s="25">
        <v>43577</v>
      </c>
      <c r="G181" s="22"/>
      <c r="H181" s="22" t="str">
        <f>CONCATENATE(Table1[[#This Row],[Order Code]],Table1[[#This Row],[NAME]])</f>
        <v>163カイトコイン　緑</v>
      </c>
    </row>
    <row r="182" spans="1:8" ht="20">
      <c r="A182" s="24">
        <v>184</v>
      </c>
      <c r="B182" s="22" t="s">
        <v>22</v>
      </c>
      <c r="C182" s="22">
        <v>163</v>
      </c>
      <c r="D182" s="22" t="s">
        <v>162</v>
      </c>
      <c r="E182" s="22">
        <v>6</v>
      </c>
      <c r="F182" s="25">
        <v>43805</v>
      </c>
      <c r="G182" s="22">
        <v>1</v>
      </c>
      <c r="H182" s="22" t="str">
        <f>CONCATENATE(Table1[[#This Row],[Order Code]],Table1[[#This Row],[NAME]])</f>
        <v>163ネオアージュ　緑</v>
      </c>
    </row>
    <row r="183" spans="1:8" ht="20">
      <c r="A183" s="24">
        <v>185</v>
      </c>
      <c r="B183" s="22" t="s">
        <v>22</v>
      </c>
      <c r="C183" s="22">
        <v>143</v>
      </c>
      <c r="D183" s="22" t="s">
        <v>163</v>
      </c>
      <c r="E183" s="22">
        <v>5</v>
      </c>
      <c r="F183" s="25">
        <v>43732</v>
      </c>
      <c r="G183" s="22"/>
      <c r="H183" s="22" t="str">
        <f>CONCATENATE(Table1[[#This Row],[Order Code]],Table1[[#This Row],[NAME]])</f>
        <v>143ルピランソープ 緑</v>
      </c>
    </row>
    <row r="184" spans="1:8" ht="20">
      <c r="A184" s="24">
        <v>186</v>
      </c>
      <c r="B184" s="22" t="s">
        <v>52</v>
      </c>
      <c r="C184" s="22">
        <v>173</v>
      </c>
      <c r="D184" s="22" t="s">
        <v>164</v>
      </c>
      <c r="E184" s="22">
        <v>6</v>
      </c>
      <c r="F184" s="25">
        <v>42740</v>
      </c>
      <c r="G184" s="22"/>
      <c r="H184" s="22" t="str">
        <f>CONCATENATE(Table1[[#This Row],[Order Code]],Table1[[#This Row],[NAME]])</f>
        <v>173耐減感11 濃緑</v>
      </c>
    </row>
    <row r="185" spans="1:8" ht="20">
      <c r="A185" s="24">
        <v>187</v>
      </c>
      <c r="B185" s="22" t="s">
        <v>52</v>
      </c>
      <c r="C185" s="22">
        <v>173</v>
      </c>
      <c r="D185" s="22" t="s">
        <v>164</v>
      </c>
      <c r="E185" s="22">
        <v>1</v>
      </c>
      <c r="F185" s="25">
        <v>42465</v>
      </c>
      <c r="G185" s="22"/>
      <c r="H185" s="22" t="str">
        <f>CONCATENATE(Table1[[#This Row],[Order Code]],Table1[[#This Row],[NAME]])</f>
        <v>173耐減感11 濃緑</v>
      </c>
    </row>
    <row r="186" spans="1:8" ht="20">
      <c r="A186" s="24">
        <v>188</v>
      </c>
      <c r="B186" s="22" t="s">
        <v>22</v>
      </c>
      <c r="C186" s="22">
        <v>163</v>
      </c>
      <c r="D186" s="22" t="s">
        <v>165</v>
      </c>
      <c r="E186" s="22">
        <v>7</v>
      </c>
      <c r="F186" s="25">
        <v>43732</v>
      </c>
      <c r="G186" s="22">
        <v>1</v>
      </c>
      <c r="H186" s="22" t="str">
        <f>CONCATENATE(Table1[[#This Row],[Order Code]],Table1[[#This Row],[NAME]])</f>
        <v>163エルモアEL88 緑</v>
      </c>
    </row>
    <row r="187" spans="1:8" ht="20">
      <c r="A187" s="24">
        <v>189</v>
      </c>
      <c r="B187" s="22" t="s">
        <v>22</v>
      </c>
      <c r="C187" s="22">
        <v>183</v>
      </c>
      <c r="D187" s="22" t="s">
        <v>166</v>
      </c>
      <c r="E187" s="22">
        <v>8</v>
      </c>
      <c r="F187" s="25">
        <v>44173</v>
      </c>
      <c r="G187" s="22">
        <v>1</v>
      </c>
      <c r="H187" s="22" t="str">
        <f>CONCATENATE(Table1[[#This Row],[Order Code]],Table1[[#This Row],[NAME]])</f>
        <v>183安田蒲鉾　黄緑</v>
      </c>
    </row>
    <row r="188" spans="1:8" ht="20">
      <c r="A188" s="24">
        <v>190</v>
      </c>
      <c r="B188" s="22" t="s">
        <v>22</v>
      </c>
      <c r="C188" s="22">
        <v>193</v>
      </c>
      <c r="D188" s="22" t="s">
        <v>167</v>
      </c>
      <c r="E188" s="22">
        <v>6</v>
      </c>
      <c r="F188" s="25">
        <v>43775</v>
      </c>
      <c r="G188" s="22">
        <v>1</v>
      </c>
      <c r="H188" s="22" t="str">
        <f>CONCATENATE(Table1[[#This Row],[Order Code]],Table1[[#This Row],[NAME]])</f>
        <v>193エコスマイルDX 紫</v>
      </c>
    </row>
    <row r="189" spans="1:8" ht="20">
      <c r="A189" s="24">
        <v>191</v>
      </c>
      <c r="B189" s="22" t="s">
        <v>22</v>
      </c>
      <c r="C189" s="22">
        <v>193</v>
      </c>
      <c r="D189" s="22" t="s">
        <v>167</v>
      </c>
      <c r="E189" s="22">
        <v>6</v>
      </c>
      <c r="F189" s="25">
        <v>43590</v>
      </c>
      <c r="G189" s="22">
        <v>1</v>
      </c>
      <c r="H189" s="22" t="str">
        <f>CONCATENATE(Table1[[#This Row],[Order Code]],Table1[[#This Row],[NAME]])</f>
        <v>193エコスマイルDX 紫</v>
      </c>
    </row>
    <row r="190" spans="1:8" ht="20">
      <c r="A190" s="24">
        <v>192</v>
      </c>
      <c r="B190" s="22" t="s">
        <v>22</v>
      </c>
      <c r="C190" s="22">
        <v>193</v>
      </c>
      <c r="D190" s="22" t="s">
        <v>168</v>
      </c>
      <c r="E190" s="22">
        <v>7</v>
      </c>
      <c r="F190" s="25">
        <v>43899</v>
      </c>
      <c r="G190" s="22">
        <v>1</v>
      </c>
      <c r="H190" s="22" t="str">
        <f>CONCATENATE(Table1[[#This Row],[Order Code]],Table1[[#This Row],[NAME]])</f>
        <v>193ユタカ　赤紫</v>
      </c>
    </row>
    <row r="191" spans="1:8" ht="20">
      <c r="A191" s="24">
        <v>193</v>
      </c>
      <c r="B191" s="22" t="s">
        <v>22</v>
      </c>
      <c r="C191" s="22">
        <v>183</v>
      </c>
      <c r="D191" s="22" t="s">
        <v>241</v>
      </c>
      <c r="E191" s="22">
        <v>9</v>
      </c>
      <c r="F191" s="25">
        <v>43916</v>
      </c>
      <c r="G191" s="22">
        <v>1</v>
      </c>
      <c r="H191" s="22" t="str">
        <f>CONCATENATE(Table1[[#This Row],[Order Code]],Table1[[#This Row],[NAME]])</f>
        <v>183オーリス64 紫</v>
      </c>
    </row>
    <row r="192" spans="1:8" ht="20">
      <c r="A192" s="24">
        <v>194</v>
      </c>
      <c r="B192" s="22" t="s">
        <v>22</v>
      </c>
      <c r="C192" s="22">
        <v>183</v>
      </c>
      <c r="D192" s="22" t="s">
        <v>170</v>
      </c>
      <c r="E192" s="22">
        <v>8</v>
      </c>
      <c r="F192" s="25">
        <v>43010</v>
      </c>
      <c r="G192" s="22"/>
      <c r="H192" s="22" t="str">
        <f>CONCATENATE(Table1[[#This Row],[Order Code]],Table1[[#This Row],[NAME]])</f>
        <v>183D106 紫</v>
      </c>
    </row>
    <row r="193" spans="1:8" ht="20">
      <c r="A193" s="24">
        <v>195</v>
      </c>
      <c r="B193" s="22" t="s">
        <v>22</v>
      </c>
      <c r="C193" s="22">
        <v>282</v>
      </c>
      <c r="D193" s="22" t="s">
        <v>171</v>
      </c>
      <c r="E193" s="22">
        <v>8</v>
      </c>
      <c r="F193" s="25">
        <v>43770</v>
      </c>
      <c r="G193" s="22">
        <v>1</v>
      </c>
      <c r="H193" s="22" t="str">
        <f>CONCATENATE(Table1[[#This Row],[Order Code]],Table1[[#This Row],[NAME]])</f>
        <v>282テクノウォッシュ　N18 肌色</v>
      </c>
    </row>
    <row r="194" spans="1:8" ht="20">
      <c r="A194" s="22">
        <v>196</v>
      </c>
      <c r="B194" s="22" t="s">
        <v>22</v>
      </c>
      <c r="C194" s="22">
        <v>1103</v>
      </c>
      <c r="D194" s="22" t="s">
        <v>171</v>
      </c>
      <c r="E194" s="22">
        <v>9</v>
      </c>
      <c r="F194" s="25">
        <v>43651</v>
      </c>
      <c r="G194" s="22">
        <v>1</v>
      </c>
      <c r="H194" s="22" t="str">
        <f>CONCATENATE(Table1[[#This Row],[Order Code]],Table1[[#This Row],[NAME]])</f>
        <v>1103テクノウォッシュ　N18 肌色</v>
      </c>
    </row>
    <row r="195" spans="1:8" ht="20">
      <c r="A195" s="22">
        <v>197</v>
      </c>
      <c r="B195" s="22" t="s">
        <v>22</v>
      </c>
      <c r="C195" s="22">
        <v>381</v>
      </c>
      <c r="D195" s="22" t="s">
        <v>194</v>
      </c>
      <c r="E195" s="22">
        <v>9</v>
      </c>
      <c r="F195" s="25">
        <v>44033</v>
      </c>
      <c r="G195" s="22">
        <v>1</v>
      </c>
      <c r="H195" s="22" t="str">
        <f>CONCATENATE(Table1[[#This Row],[Order Code]],Table1[[#This Row],[NAME]])</f>
        <v>381重要用紙　失赤</v>
      </c>
    </row>
    <row r="196" spans="1:8" ht="20">
      <c r="A196" s="27">
        <v>198</v>
      </c>
      <c r="B196" s="28" t="s">
        <v>22</v>
      </c>
      <c r="C196" s="28">
        <v>381</v>
      </c>
      <c r="D196" s="28" t="s">
        <v>205</v>
      </c>
      <c r="E196" s="28">
        <v>9</v>
      </c>
      <c r="F196" s="23">
        <v>43916</v>
      </c>
      <c r="G196" s="28"/>
      <c r="H196" s="22" t="str">
        <f>CONCATENATE(Table1[[#This Row],[Order Code]],Table1[[#This Row],[NAME]])</f>
        <v>381店頭用シール　金　赤口</v>
      </c>
    </row>
    <row r="197" spans="1:8" ht="20">
      <c r="A197" s="27">
        <v>199</v>
      </c>
      <c r="B197" s="28" t="s">
        <v>22</v>
      </c>
      <c r="C197" s="28">
        <v>351</v>
      </c>
      <c r="D197" s="28" t="s">
        <v>206</v>
      </c>
      <c r="E197" s="28">
        <v>9</v>
      </c>
      <c r="F197" s="23">
        <v>44007</v>
      </c>
      <c r="G197" s="28"/>
      <c r="H197" s="22" t="str">
        <f>CONCATENATE(Table1[[#This Row],[Order Code]],Table1[[#This Row],[NAME]])</f>
        <v>351MC1000(5L) ピンク</v>
      </c>
    </row>
    <row r="198" spans="1:8" ht="20">
      <c r="A198" s="27"/>
      <c r="B198" s="28" t="s">
        <v>22</v>
      </c>
      <c r="C198" s="28">
        <v>291</v>
      </c>
      <c r="D198" s="28" t="s">
        <v>207</v>
      </c>
      <c r="E198" s="28">
        <v>9</v>
      </c>
      <c r="F198" s="23">
        <v>43997</v>
      </c>
      <c r="G198" s="28"/>
      <c r="H198" s="29" t="str">
        <f>CONCATENATE(Table1[[#This Row],[Order Code]],Table1[[#This Row],[NAME]])</f>
        <v>291CLEANTOP 水色</v>
      </c>
    </row>
    <row r="199" spans="1:8" ht="20">
      <c r="A199" s="27"/>
      <c r="B199" s="28" t="s">
        <v>22</v>
      </c>
      <c r="C199" s="28">
        <v>281</v>
      </c>
      <c r="D199" s="28" t="s">
        <v>208</v>
      </c>
      <c r="E199" s="28">
        <v>9</v>
      </c>
      <c r="F199" s="23">
        <v>43973</v>
      </c>
      <c r="G199" s="28"/>
      <c r="H199" s="29" t="str">
        <f>CONCATENATE(Table1[[#This Row],[Order Code]],Table1[[#This Row],[NAME]])</f>
        <v>281アルカチャレンジ　青</v>
      </c>
    </row>
    <row r="200" spans="1:8" ht="20">
      <c r="A200" s="27"/>
      <c r="B200" s="28" t="s">
        <v>22</v>
      </c>
      <c r="C200" s="28">
        <v>201</v>
      </c>
      <c r="D200" s="28" t="s">
        <v>238</v>
      </c>
      <c r="E200" s="28">
        <v>9</v>
      </c>
      <c r="F200" s="23">
        <v>43861</v>
      </c>
      <c r="G200" s="28"/>
      <c r="H200" s="29" t="str">
        <f>CONCATENATE(Table1[[#This Row],[Order Code]],Table1[[#This Row],[NAME]])</f>
        <v>201ユタカ花粉ホコリ　青</v>
      </c>
    </row>
    <row r="201" spans="1:8" ht="20">
      <c r="A201" s="27"/>
      <c r="B201" s="28" t="s">
        <v>216</v>
      </c>
      <c r="C201" s="28">
        <v>163</v>
      </c>
      <c r="D201" s="28" t="s">
        <v>239</v>
      </c>
      <c r="E201" s="28">
        <v>9</v>
      </c>
      <c r="F201" s="23">
        <v>43948</v>
      </c>
      <c r="G201" s="28"/>
      <c r="H201" s="29" t="str">
        <f>CONCATENATE(Table1[[#This Row],[Order Code]],Table1[[#This Row],[NAME]])</f>
        <v>163サンレックスKスカイ　緑</v>
      </c>
    </row>
    <row r="202" spans="1:8" ht="20">
      <c r="A202" s="27"/>
      <c r="B202" s="28" t="s">
        <v>22</v>
      </c>
      <c r="C202" s="28">
        <v>173</v>
      </c>
      <c r="D202" s="28" t="s">
        <v>240</v>
      </c>
      <c r="E202" s="28">
        <v>9</v>
      </c>
      <c r="F202" s="23">
        <v>44020</v>
      </c>
      <c r="G202" s="28"/>
      <c r="H202" s="29" t="str">
        <f>CONCATENATE(Table1[[#This Row],[Order Code]],Table1[[#This Row],[NAME]])</f>
        <v>173オイル交換シール　緑</v>
      </c>
    </row>
    <row r="203" spans="1:8" ht="20">
      <c r="A203" s="27"/>
      <c r="B203" s="28" t="s">
        <v>22</v>
      </c>
      <c r="C203" s="28">
        <v>302</v>
      </c>
      <c r="D203" s="28" t="s">
        <v>242</v>
      </c>
      <c r="E203" s="28">
        <v>9</v>
      </c>
      <c r="F203" s="23">
        <v>44022</v>
      </c>
      <c r="G203" s="28"/>
      <c r="H203" s="29" t="str">
        <f>CONCATENATE(Table1[[#This Row],[Order Code]],Table1[[#This Row],[NAME]])</f>
        <v>302Dー162　オレンジ</v>
      </c>
    </row>
    <row r="204" spans="1:8" ht="20">
      <c r="A204" s="27"/>
      <c r="B204" s="28" t="s">
        <v>22</v>
      </c>
      <c r="C204" s="28">
        <v>323</v>
      </c>
      <c r="D204" s="28" t="s">
        <v>122</v>
      </c>
      <c r="E204" s="28">
        <v>9</v>
      </c>
      <c r="F204" s="23">
        <v>43578</v>
      </c>
      <c r="G204" s="28"/>
      <c r="H204" s="29" t="str">
        <f>CONCATENATE(Table1[[#This Row],[Order Code]],Table1[[#This Row],[NAME]])</f>
        <v>323酸素系NA05 黄</v>
      </c>
    </row>
    <row r="205" spans="1:8" ht="20">
      <c r="A205" s="27"/>
      <c r="B205" s="28" t="s">
        <v>22</v>
      </c>
      <c r="C205" s="28">
        <v>213</v>
      </c>
      <c r="D205" s="28" t="s">
        <v>243</v>
      </c>
      <c r="E205" s="28">
        <v>9</v>
      </c>
      <c r="F205" s="23">
        <v>44007</v>
      </c>
      <c r="G205" s="28"/>
      <c r="H205" s="29" t="str">
        <f>CONCATENATE(Table1[[#This Row],[Order Code]],Table1[[#This Row],[NAME]])</f>
        <v>213テクノクリア　５LX４</v>
      </c>
    </row>
    <row r="206" spans="1:8" ht="20">
      <c r="A206" s="27"/>
      <c r="B206" s="28" t="s">
        <v>22</v>
      </c>
      <c r="C206" s="28">
        <v>273</v>
      </c>
      <c r="D206" s="28" t="s">
        <v>245</v>
      </c>
      <c r="E206" s="28">
        <v>1</v>
      </c>
      <c r="F206" s="23">
        <v>42676</v>
      </c>
      <c r="G206" s="28"/>
      <c r="H206" s="29" t="str">
        <f>CONCATENATE(Table1[[#This Row],[Order Code]],Table1[[#This Row],[NAME]])</f>
        <v>273何々茶</v>
      </c>
    </row>
    <row r="207" spans="1:8" ht="20">
      <c r="A207" s="27"/>
      <c r="B207" s="28" t="s">
        <v>22</v>
      </c>
      <c r="C207" s="28">
        <v>2103</v>
      </c>
      <c r="D207" s="28" t="s">
        <v>246</v>
      </c>
      <c r="E207" s="28">
        <v>9</v>
      </c>
      <c r="F207" s="23">
        <v>43917</v>
      </c>
      <c r="G207" s="28"/>
      <c r="H207" s="29" t="str">
        <f>CONCATENATE(Table1[[#This Row],[Order Code]],Table1[[#This Row],[NAME]])</f>
        <v>2103エコルセNB22 青</v>
      </c>
    </row>
    <row r="208" spans="1:8" ht="20">
      <c r="A208" s="27"/>
      <c r="B208" s="28" t="s">
        <v>22</v>
      </c>
      <c r="C208" s="28">
        <v>2103</v>
      </c>
      <c r="D208" s="28" t="s">
        <v>247</v>
      </c>
      <c r="E208" s="28">
        <v>9</v>
      </c>
      <c r="F208" s="23">
        <v>43917</v>
      </c>
      <c r="G208" s="28"/>
      <c r="H208" s="29" t="str">
        <f>CONCATENATE(Table1[[#This Row],[Order Code]],Table1[[#This Row],[NAME]])</f>
        <v>2103エコルセNB22 オレンジ</v>
      </c>
    </row>
    <row r="209" spans="1:8" ht="20">
      <c r="A209" s="27"/>
      <c r="B209" s="28" t="s">
        <v>22</v>
      </c>
      <c r="C209" s="28">
        <v>2103</v>
      </c>
      <c r="D209" s="28" t="s">
        <v>248</v>
      </c>
      <c r="E209" s="28">
        <v>9</v>
      </c>
      <c r="F209" s="23">
        <v>43917</v>
      </c>
      <c r="G209" s="28"/>
      <c r="H209" s="29" t="str">
        <f>CONCATENATE(Table1[[#This Row],[Order Code]],Table1[[#This Row],[NAME]])</f>
        <v>2103エコルセNB22 紺</v>
      </c>
    </row>
    <row r="210" spans="1:8" ht="20">
      <c r="A210" s="27"/>
      <c r="B210" s="28" t="s">
        <v>22</v>
      </c>
      <c r="C210" s="28">
        <v>353</v>
      </c>
      <c r="D210" s="28" t="s">
        <v>270</v>
      </c>
      <c r="E210" s="28">
        <v>9</v>
      </c>
      <c r="F210" s="23">
        <v>44064</v>
      </c>
      <c r="G210" s="28"/>
      <c r="H210" s="29" t="str">
        <f>CONCATENATE(Table1[[#This Row],[Order Code]],Table1[[#This Row],[NAME]])</f>
        <v>353インステゥルメントミルク</v>
      </c>
    </row>
    <row r="211" spans="1:8" ht="20">
      <c r="A211" s="27"/>
      <c r="B211" s="28" t="s">
        <v>22</v>
      </c>
      <c r="C211" s="28">
        <v>102</v>
      </c>
      <c r="D211" s="28" t="s">
        <v>276</v>
      </c>
      <c r="E211" s="28">
        <v>9</v>
      </c>
      <c r="F211" s="23">
        <v>44078</v>
      </c>
      <c r="G211" s="28"/>
      <c r="H211" s="29" t="str">
        <f>CONCATENATE(Table1[[#This Row],[Order Code]],Table1[[#This Row],[NAME]])</f>
        <v>102D5-2557 緑</v>
      </c>
    </row>
    <row r="212" spans="1:8" ht="20">
      <c r="A212" s="27"/>
      <c r="B212" s="28" t="s">
        <v>22</v>
      </c>
      <c r="C212" s="28"/>
      <c r="D212" s="28"/>
      <c r="E212" s="28"/>
      <c r="F212" s="23"/>
      <c r="G212" s="28"/>
      <c r="H212" s="29" t="str">
        <f>CONCATENATE(Table1[[#This Row],[Order Code]],Table1[[#This Row],[NAME]])</f>
        <v/>
      </c>
    </row>
    <row r="213" spans="1:8" ht="20">
      <c r="A213" s="27"/>
      <c r="B213" s="28"/>
      <c r="C213" s="28"/>
      <c r="D213" s="28"/>
      <c r="E213" s="28"/>
      <c r="F213" s="23"/>
      <c r="G213" s="28"/>
      <c r="H213" s="29" t="str">
        <f>CONCATENATE(Table1[[#This Row],[Order Code]],Table1[[#This Row],[NAME]])</f>
        <v/>
      </c>
    </row>
    <row r="214" spans="1:8" ht="20">
      <c r="A214" s="27"/>
      <c r="B214" s="28"/>
      <c r="C214" s="28"/>
      <c r="D214" s="28"/>
      <c r="E214" s="28"/>
      <c r="F214" s="23"/>
      <c r="G214" s="28"/>
      <c r="H214" s="29" t="str">
        <f>CONCATENATE(Table1[[#This Row],[Order Code]],Table1[[#This Row],[NAME]])</f>
        <v/>
      </c>
    </row>
    <row r="215" spans="1:8" ht="20">
      <c r="A215" s="27"/>
      <c r="B215" s="28"/>
      <c r="C215" s="28"/>
      <c r="D215" s="28"/>
      <c r="E215" s="28"/>
      <c r="F215" s="23"/>
      <c r="G215" s="28"/>
      <c r="H215" s="29" t="str">
        <f>CONCATENATE(Table1[[#This Row],[Order Code]],Table1[[#This Row],[NAME]])</f>
        <v/>
      </c>
    </row>
    <row r="216" spans="1:8" ht="20">
      <c r="A216" s="27"/>
      <c r="B216" s="28"/>
      <c r="C216" s="28"/>
      <c r="D216" s="28"/>
      <c r="E216" s="28"/>
      <c r="F216" s="23"/>
      <c r="G216" s="28"/>
      <c r="H216" s="29" t="str">
        <f>CONCATENATE(Table1[[#This Row],[Order Code]],Table1[[#This Row],[NAME]])</f>
        <v/>
      </c>
    </row>
    <row r="217" spans="1:8" ht="20">
      <c r="A217" s="27"/>
      <c r="B217" s="28"/>
      <c r="C217" s="28"/>
      <c r="D217" s="28"/>
      <c r="E217" s="28"/>
      <c r="F217" s="23"/>
      <c r="G217" s="28"/>
      <c r="H217" s="29" t="str">
        <f>CONCATENATE(Table1[[#This Row],[Order Code]],Table1[[#This Row],[NAME]])</f>
        <v/>
      </c>
    </row>
    <row r="218" spans="1:8" ht="20">
      <c r="A218" s="27"/>
      <c r="B218" s="28"/>
      <c r="C218" s="28"/>
      <c r="D218" s="28"/>
      <c r="E218" s="28"/>
      <c r="F218" s="23"/>
      <c r="G218" s="28"/>
      <c r="H218" s="29" t="str">
        <f>CONCATENATE(Table1[[#This Row],[Order Code]],Table1[[#This Row],[NAME]])</f>
        <v/>
      </c>
    </row>
    <row r="219" spans="1:8" ht="20">
      <c r="A219" s="27"/>
      <c r="B219" s="28"/>
      <c r="C219" s="28"/>
      <c r="D219" s="28"/>
      <c r="E219" s="28"/>
      <c r="F219" s="23"/>
      <c r="G219" s="28"/>
      <c r="H219" s="29" t="str">
        <f>CONCATENATE(Table1[[#This Row],[Order Code]],Table1[[#This Row],[NAME]])</f>
        <v/>
      </c>
    </row>
    <row r="220" spans="1:8" ht="20">
      <c r="A220" s="27"/>
      <c r="B220" s="28"/>
      <c r="C220" s="28"/>
      <c r="D220" s="28"/>
      <c r="E220" s="28"/>
      <c r="F220" s="23"/>
      <c r="G220" s="28"/>
      <c r="H220" s="29" t="str">
        <f>CONCATENATE(Table1[[#This Row],[Order Code]],Table1[[#This Row],[NAME]])</f>
        <v/>
      </c>
    </row>
    <row r="221" spans="1:8" ht="20">
      <c r="A221" s="27"/>
      <c r="B221" s="28"/>
      <c r="C221" s="28"/>
      <c r="D221" s="28"/>
      <c r="E221" s="28"/>
      <c r="F221" s="23"/>
      <c r="G221" s="28"/>
      <c r="H221" s="29" t="str">
        <f>CONCATENATE(Table1[[#This Row],[Order Code]],Table1[[#This Row],[NAME]])</f>
        <v/>
      </c>
    </row>
    <row r="222" spans="1:8" ht="20">
      <c r="A222" s="27"/>
      <c r="B222" s="28"/>
      <c r="C222" s="28"/>
      <c r="D222" s="28"/>
      <c r="E222" s="28"/>
      <c r="F222" s="23"/>
      <c r="G222" s="28"/>
      <c r="H222" s="29" t="str">
        <f>CONCATENATE(Table1[[#This Row],[Order Code]],Table1[[#This Row],[NAME]])</f>
        <v/>
      </c>
    </row>
    <row r="223" spans="1:8" ht="20">
      <c r="A223" s="27"/>
      <c r="B223" s="28"/>
      <c r="C223" s="28"/>
      <c r="D223" s="28"/>
      <c r="E223" s="28"/>
      <c r="F223" s="23"/>
      <c r="G223" s="28"/>
      <c r="H223" s="29" t="str">
        <f>CONCATENATE(Table1[[#This Row],[Order Code]],Table1[[#This Row],[NAME]])</f>
        <v/>
      </c>
    </row>
    <row r="224" spans="1:8" ht="20">
      <c r="A224" s="27"/>
      <c r="B224" s="28"/>
      <c r="C224" s="28"/>
      <c r="D224" s="28"/>
      <c r="E224" s="28"/>
      <c r="F224" s="23"/>
      <c r="G224" s="28"/>
      <c r="H224" s="29" t="str">
        <f>CONCATENATE(Table1[[#This Row],[Order Code]],Table1[[#This Row],[NAME]])</f>
        <v/>
      </c>
    </row>
    <row r="225" spans="1:8" ht="20">
      <c r="A225" s="27"/>
      <c r="B225" s="28"/>
      <c r="C225" s="28"/>
      <c r="D225" s="28"/>
      <c r="E225" s="28"/>
      <c r="F225" s="23"/>
      <c r="G225" s="28"/>
      <c r="H225" s="29" t="str">
        <f>CONCATENATE(Table1[[#This Row],[Order Code]],Table1[[#This Row],[NAME]])</f>
        <v/>
      </c>
    </row>
    <row r="226" spans="1:8" ht="20">
      <c r="A226" s="27"/>
      <c r="B226" s="28"/>
      <c r="C226" s="28"/>
      <c r="D226" s="28"/>
      <c r="E226" s="28"/>
      <c r="F226" s="23"/>
      <c r="G226" s="28"/>
      <c r="H226" s="29" t="str">
        <f>CONCATENATE(Table1[[#This Row],[Order Code]],Table1[[#This Row],[NAME]])</f>
        <v/>
      </c>
    </row>
    <row r="227" spans="1:8" ht="20">
      <c r="A227" s="27"/>
      <c r="B227" s="28"/>
      <c r="C227" s="28"/>
      <c r="D227" s="28"/>
      <c r="E227" s="28"/>
      <c r="F227" s="23"/>
      <c r="G227" s="28"/>
      <c r="H227" s="29" t="str">
        <f>CONCATENATE(Table1[[#This Row],[Order Code]],Table1[[#This Row],[NAME]])</f>
        <v/>
      </c>
    </row>
    <row r="228" spans="1:8" ht="20">
      <c r="A228" s="27"/>
      <c r="B228" s="28"/>
      <c r="C228" s="28"/>
      <c r="D228" s="28"/>
      <c r="E228" s="28"/>
      <c r="F228" s="23"/>
      <c r="G228" s="28"/>
      <c r="H228" s="29" t="str">
        <f>CONCATENATE(Table1[[#This Row],[Order Code]],Table1[[#This Row],[NAME]])</f>
        <v/>
      </c>
    </row>
    <row r="229" spans="1:8" ht="20">
      <c r="A229" s="27"/>
      <c r="B229" s="28"/>
      <c r="C229" s="28"/>
      <c r="D229" s="28"/>
      <c r="E229" s="28"/>
      <c r="F229" s="23"/>
      <c r="G229" s="28"/>
      <c r="H229" s="29" t="str">
        <f>CONCATENATE(Table1[[#This Row],[Order Code]],Table1[[#This Row],[NAME]])</f>
        <v/>
      </c>
    </row>
    <row r="230" spans="1:8" ht="20">
      <c r="A230" s="27"/>
      <c r="B230" s="28"/>
      <c r="C230" s="28"/>
      <c r="D230" s="28"/>
      <c r="E230" s="28"/>
      <c r="F230" s="23"/>
      <c r="G230" s="28"/>
      <c r="H230" s="29" t="str">
        <f>CONCATENATE(Table1[[#This Row],[Order Code]],Table1[[#This Row],[NAME]])</f>
        <v/>
      </c>
    </row>
    <row r="231" spans="1:8" ht="20">
      <c r="A231" s="27"/>
      <c r="B231" s="28"/>
      <c r="C231" s="28"/>
      <c r="D231" s="28"/>
      <c r="E231" s="28"/>
      <c r="F231" s="23"/>
      <c r="G231" s="28"/>
      <c r="H231" s="29" t="str">
        <f>CONCATENATE(Table1[[#This Row],[Order Code]],Table1[[#This Row],[NAME]])</f>
        <v/>
      </c>
    </row>
    <row r="232" spans="1:8" ht="20">
      <c r="A232" s="27"/>
      <c r="B232" s="28"/>
      <c r="C232" s="28"/>
      <c r="D232" s="28"/>
      <c r="E232" s="28"/>
      <c r="F232" s="23"/>
      <c r="G232" s="28"/>
      <c r="H232" s="29" t="str">
        <f>CONCATENATE(Table1[[#This Row],[Order Code]],Table1[[#This Row],[NAME]])</f>
        <v/>
      </c>
    </row>
    <row r="233" spans="1:8" ht="20">
      <c r="A233" s="27"/>
      <c r="B233" s="28"/>
      <c r="C233" s="28"/>
      <c r="D233" s="28"/>
      <c r="E233" s="28"/>
      <c r="F233" s="23"/>
      <c r="G233" s="28"/>
      <c r="H233" s="29" t="str">
        <f>CONCATENATE(Table1[[#This Row],[Order Code]],Table1[[#This Row],[NAME]])</f>
        <v/>
      </c>
    </row>
    <row r="234" spans="1:8" ht="20">
      <c r="A234" s="27"/>
      <c r="B234" s="28"/>
      <c r="C234" s="28"/>
      <c r="D234" s="28"/>
      <c r="E234" s="28"/>
      <c r="F234" s="23"/>
      <c r="G234" s="28"/>
      <c r="H234" s="29" t="str">
        <f>CONCATENATE(Table1[[#This Row],[Order Code]],Table1[[#This Row],[NAME]])</f>
        <v/>
      </c>
    </row>
    <row r="235" spans="1:8" ht="20">
      <c r="A235" s="27"/>
      <c r="B235" s="28"/>
      <c r="C235" s="28"/>
      <c r="D235" s="28"/>
      <c r="E235" s="28"/>
      <c r="F235" s="23"/>
      <c r="G235" s="28"/>
      <c r="H235" s="29" t="str">
        <f>CONCATENATE(Table1[[#This Row],[Order Code]],Table1[[#This Row],[NAME]])</f>
        <v/>
      </c>
    </row>
    <row r="236" spans="1:8" ht="20">
      <c r="A236" s="27"/>
      <c r="B236" s="28"/>
      <c r="C236" s="28"/>
      <c r="D236" s="28"/>
      <c r="E236" s="28"/>
      <c r="F236" s="23"/>
      <c r="G236" s="28"/>
      <c r="H236" s="29" t="str">
        <f>CONCATENATE(Table1[[#This Row],[Order Code]],Table1[[#This Row],[NAME]])</f>
        <v/>
      </c>
    </row>
    <row r="237" spans="1:8" ht="20">
      <c r="A237" s="27"/>
      <c r="B237" s="28"/>
      <c r="C237" s="28"/>
      <c r="D237" s="28"/>
      <c r="E237" s="28"/>
      <c r="F237" s="23"/>
      <c r="G237" s="28"/>
      <c r="H237" s="29" t="str">
        <f>CONCATENATE(Table1[[#This Row],[Order Code]],Table1[[#This Row],[NAME]])</f>
        <v/>
      </c>
    </row>
    <row r="238" spans="1:8" ht="20">
      <c r="A238" s="27"/>
      <c r="B238" s="28"/>
      <c r="C238" s="28"/>
      <c r="D238" s="28"/>
      <c r="E238" s="28"/>
      <c r="F238" s="23"/>
      <c r="G238" s="28"/>
      <c r="H238" s="29" t="str">
        <f>CONCATENATE(Table1[[#This Row],[Order Code]],Table1[[#This Row],[NAME]])</f>
        <v/>
      </c>
    </row>
    <row r="239" spans="1:8" ht="20">
      <c r="A239" s="27"/>
      <c r="B239" s="28"/>
      <c r="C239" s="28"/>
      <c r="D239" s="28"/>
      <c r="E239" s="28"/>
      <c r="F239" s="23"/>
      <c r="G239" s="28"/>
      <c r="H239" s="29" t="str">
        <f>CONCATENATE(Table1[[#This Row],[Order Code]],Table1[[#This Row],[NAME]])</f>
        <v/>
      </c>
    </row>
  </sheetData>
  <phoneticPr fontId="3"/>
  <pageMargins left="0.7" right="0.7" top="0.75" bottom="0.75" header="0" footer="0"/>
  <pageSetup orientation="landscape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E6"/>
  <sheetViews>
    <sheetView zoomScaleNormal="100" workbookViewId="0">
      <selection activeCell="C4" sqref="C4"/>
    </sheetView>
  </sheetViews>
  <sheetFormatPr baseColWidth="10" defaultColWidth="8.69921875" defaultRowHeight="22"/>
  <cols>
    <col min="1" max="1" width="10.8984375" style="41" bestFit="1" customWidth="1"/>
    <col min="2" max="2" width="22.296875" style="38" customWidth="1"/>
    <col min="3" max="3" width="30.69921875" style="39" customWidth="1"/>
    <col min="4" max="4" width="9.296875" style="40" customWidth="1"/>
    <col min="5" max="5" width="17.69921875" style="40" customWidth="1"/>
    <col min="6" max="16384" width="8.69921875" style="36"/>
  </cols>
  <sheetData>
    <row r="1" spans="1:5" ht="26" thickBot="1">
      <c r="A1" s="61" t="s">
        <v>234</v>
      </c>
      <c r="B1" s="62"/>
      <c r="C1" s="45" t="s">
        <v>275</v>
      </c>
      <c r="D1" s="45" t="s">
        <v>2</v>
      </c>
      <c r="E1" s="42"/>
    </row>
    <row r="2" spans="1:5" ht="46">
      <c r="A2" s="37">
        <v>44061</v>
      </c>
      <c r="B2" s="44" t="s">
        <v>233</v>
      </c>
    </row>
    <row r="3" spans="1:5" ht="23">
      <c r="A3" s="37">
        <v>44062</v>
      </c>
      <c r="B3" s="43" t="s">
        <v>250</v>
      </c>
    </row>
    <row r="4" spans="1:5" ht="69">
      <c r="A4" s="37">
        <v>44063</v>
      </c>
      <c r="B4" s="43" t="s">
        <v>235</v>
      </c>
    </row>
    <row r="5" spans="1:5" ht="69">
      <c r="A5" s="37">
        <v>44064</v>
      </c>
      <c r="B5" s="43" t="s">
        <v>267</v>
      </c>
    </row>
    <row r="6" spans="1:5" ht="46">
      <c r="B6" s="43" t="s">
        <v>273</v>
      </c>
    </row>
  </sheetData>
  <mergeCells count="1">
    <mergeCell ref="A1:B1"/>
  </mergeCells>
  <phoneticPr fontId="19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B1000"/>
  <sheetViews>
    <sheetView workbookViewId="0"/>
  </sheetViews>
  <sheetFormatPr baseColWidth="10" defaultColWidth="9.19921875" defaultRowHeight="15" customHeight="1"/>
  <cols>
    <col min="1" max="1" width="22.8984375" customWidth="1"/>
    <col min="2" max="2" width="17" customWidth="1"/>
    <col min="3" max="26" width="10.3984375" customWidth="1"/>
  </cols>
  <sheetData>
    <row r="1" spans="1:2" ht="21.75" customHeight="1">
      <c r="A1" s="1" t="s">
        <v>172</v>
      </c>
      <c r="B1" s="1" t="s">
        <v>173</v>
      </c>
    </row>
    <row r="2" spans="1:2" ht="21.75" customHeight="1">
      <c r="A2" s="1" t="s">
        <v>174</v>
      </c>
      <c r="B2" s="2">
        <v>43237</v>
      </c>
    </row>
    <row r="3" spans="1:2" ht="21.75" customHeight="1">
      <c r="A3" s="1" t="s">
        <v>175</v>
      </c>
      <c r="B3" s="2">
        <v>43237</v>
      </c>
    </row>
    <row r="4" spans="1:2" ht="21.75" customHeight="1">
      <c r="A4" s="1" t="s">
        <v>64</v>
      </c>
      <c r="B4" s="2">
        <v>43272</v>
      </c>
    </row>
    <row r="5" spans="1:2" ht="21.75" customHeight="1">
      <c r="A5" s="1" t="s">
        <v>176</v>
      </c>
      <c r="B5" s="2">
        <v>43272</v>
      </c>
    </row>
    <row r="6" spans="1:2" ht="21.75" customHeight="1">
      <c r="A6" s="1" t="s">
        <v>177</v>
      </c>
      <c r="B6" s="2">
        <v>43272</v>
      </c>
    </row>
    <row r="7" spans="1:2" ht="21.75" customHeight="1">
      <c r="A7" s="1" t="s">
        <v>178</v>
      </c>
      <c r="B7" s="2">
        <v>43272</v>
      </c>
    </row>
    <row r="8" spans="1:2" ht="21.75" customHeight="1">
      <c r="A8" s="1" t="s">
        <v>179</v>
      </c>
      <c r="B8" s="2">
        <v>43279</v>
      </c>
    </row>
    <row r="9" spans="1:2" ht="21.75" customHeight="1">
      <c r="A9" s="1" t="s">
        <v>180</v>
      </c>
      <c r="B9" s="2">
        <v>43293</v>
      </c>
    </row>
    <row r="10" spans="1:2" ht="21.75" customHeight="1">
      <c r="A10" s="1" t="s">
        <v>181</v>
      </c>
      <c r="B10" s="2">
        <v>43307</v>
      </c>
    </row>
    <row r="11" spans="1:2" ht="21.75" customHeight="1">
      <c r="A11" s="1" t="s">
        <v>182</v>
      </c>
      <c r="B11" s="2">
        <v>43307</v>
      </c>
    </row>
    <row r="12" spans="1:2" ht="21.75" customHeight="1">
      <c r="A12" s="1" t="s">
        <v>183</v>
      </c>
      <c r="B12" s="2">
        <v>43390</v>
      </c>
    </row>
    <row r="13" spans="1:2" ht="21.75" customHeight="1">
      <c r="A13" s="1" t="s">
        <v>184</v>
      </c>
      <c r="B13" s="2">
        <v>43511</v>
      </c>
    </row>
    <row r="14" spans="1:2" ht="21.75" customHeight="1">
      <c r="A14" s="1" t="s">
        <v>185</v>
      </c>
      <c r="B14" s="2">
        <v>43521</v>
      </c>
    </row>
    <row r="15" spans="1:2" ht="21.75" customHeight="1">
      <c r="A15" s="1" t="s">
        <v>186</v>
      </c>
      <c r="B15" s="2">
        <v>43571</v>
      </c>
    </row>
    <row r="16" spans="1:2" ht="21.75" customHeight="1">
      <c r="A16" s="1" t="s">
        <v>187</v>
      </c>
      <c r="B16" s="2">
        <v>43573</v>
      </c>
    </row>
    <row r="17" spans="1:2" ht="21.75" customHeight="1">
      <c r="A17" s="1" t="s">
        <v>188</v>
      </c>
      <c r="B17" s="2">
        <v>43577</v>
      </c>
    </row>
    <row r="18" spans="1:2" ht="21.75" customHeight="1">
      <c r="A18" s="1" t="s">
        <v>189</v>
      </c>
      <c r="B18" s="2">
        <v>43605</v>
      </c>
    </row>
    <row r="19" spans="1:2" ht="21.75" customHeight="1">
      <c r="A19" s="3" t="s">
        <v>190</v>
      </c>
      <c r="B19" s="2">
        <v>43669</v>
      </c>
    </row>
    <row r="20" spans="1:2" ht="21.75" customHeight="1">
      <c r="A20" s="1" t="s">
        <v>191</v>
      </c>
      <c r="B20" s="2">
        <v>43770</v>
      </c>
    </row>
    <row r="21" spans="1:2" ht="21.75" customHeight="1"/>
    <row r="22" spans="1:2" ht="21.75" customHeight="1"/>
    <row r="23" spans="1:2" ht="21.75" customHeight="1"/>
    <row r="24" spans="1:2" ht="21.75" customHeight="1"/>
    <row r="25" spans="1:2" ht="21.75" customHeight="1"/>
    <row r="26" spans="1:2" ht="21.75" customHeight="1"/>
    <row r="27" spans="1:2" ht="21.75" customHeight="1"/>
    <row r="28" spans="1:2" ht="21.75" customHeight="1"/>
    <row r="29" spans="1:2" ht="21.75" customHeight="1"/>
    <row r="30" spans="1:2" ht="21.75" customHeight="1"/>
    <row r="31" spans="1:2" ht="21.75" customHeight="1"/>
    <row r="32" spans="1:2" ht="21.75" customHeight="1"/>
    <row r="33" ht="21.75" customHeight="1"/>
    <row r="34" ht="21.75" customHeight="1"/>
    <row r="35" ht="21.75" customHeight="1"/>
    <row r="36" ht="21.75" customHeight="1"/>
    <row r="37" ht="21.75" customHeight="1"/>
    <row r="38" ht="21.75" customHeight="1"/>
    <row r="39" ht="21.75" customHeight="1"/>
    <row r="40" ht="21.75" customHeight="1"/>
    <row r="41" ht="21.75" customHeight="1"/>
    <row r="42" ht="21.75" customHeight="1"/>
    <row r="43" ht="21.75" customHeight="1"/>
    <row r="44" ht="21.75" customHeight="1"/>
    <row r="45" ht="21.75" customHeight="1"/>
    <row r="46" ht="21.75" customHeight="1"/>
    <row r="47" ht="21.75" customHeight="1"/>
    <row r="48" ht="21.75" customHeight="1"/>
    <row r="49" ht="21.75" customHeight="1"/>
    <row r="50" ht="21.75" customHeight="1"/>
    <row r="51" ht="21.75" customHeight="1"/>
    <row r="52" ht="21.75" customHeight="1"/>
    <row r="53" ht="21.75" customHeight="1"/>
    <row r="54" ht="21.75" customHeight="1"/>
    <row r="55" ht="21.75" customHeight="1"/>
    <row r="56" ht="21.75" customHeight="1"/>
    <row r="57" ht="21.75" customHeight="1"/>
    <row r="58" ht="21.75" customHeight="1"/>
    <row r="59" ht="21.75" customHeight="1"/>
    <row r="60" ht="21.75" customHeight="1"/>
    <row r="61" ht="21.75" customHeight="1"/>
    <row r="62" ht="21.75" customHeight="1"/>
    <row r="63" ht="21.75" customHeight="1"/>
    <row r="64" ht="21.75" customHeight="1"/>
    <row r="65" ht="21.75" customHeight="1"/>
    <row r="66" ht="21.75" customHeight="1"/>
    <row r="67" ht="21.75" customHeight="1"/>
    <row r="68" ht="21.75" customHeight="1"/>
    <row r="69" ht="21.75" customHeight="1"/>
    <row r="70" ht="21.75" customHeight="1"/>
    <row r="71" ht="21.75" customHeight="1"/>
    <row r="72" ht="21.75" customHeight="1"/>
    <row r="73" ht="21.75" customHeight="1"/>
    <row r="74" ht="21.75" customHeight="1"/>
    <row r="75" ht="21.75" customHeight="1"/>
    <row r="76" ht="21.75" customHeight="1"/>
    <row r="77" ht="21.75" customHeight="1"/>
    <row r="78" ht="21.75" customHeight="1"/>
    <row r="79" ht="21.75" customHeight="1"/>
    <row r="80" ht="21.75" customHeight="1"/>
    <row r="81" ht="21.75" customHeight="1"/>
    <row r="82" ht="21.75" customHeight="1"/>
    <row r="83" ht="21.75" customHeight="1"/>
    <row r="84" ht="21.75" customHeight="1"/>
    <row r="85" ht="21.75" customHeight="1"/>
    <row r="86" ht="21.75" customHeight="1"/>
    <row r="87" ht="21.75" customHeight="1"/>
    <row r="88" ht="21.75" customHeight="1"/>
    <row r="89" ht="21.75" customHeight="1"/>
    <row r="90" ht="21.75" customHeight="1"/>
    <row r="91" ht="21.75" customHeight="1"/>
    <row r="92" ht="21.75" customHeight="1"/>
    <row r="93" ht="21.75" customHeight="1"/>
    <row r="94" ht="21.75" customHeight="1"/>
    <row r="95" ht="21.75" customHeight="1"/>
    <row r="96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phoneticPr fontId="3"/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C1000"/>
  <sheetViews>
    <sheetView workbookViewId="0"/>
  </sheetViews>
  <sheetFormatPr baseColWidth="10" defaultColWidth="9.19921875" defaultRowHeight="15" customHeight="1"/>
  <cols>
    <col min="1" max="1" width="28.3984375" customWidth="1"/>
    <col min="2" max="2" width="10.3984375" hidden="1" customWidth="1"/>
    <col min="3" max="3" width="14.8984375" customWidth="1"/>
    <col min="4" max="26" width="10.3984375" customWidth="1"/>
  </cols>
  <sheetData>
    <row r="1" spans="1:3" ht="21.75" customHeight="1">
      <c r="A1" s="1" t="s">
        <v>18</v>
      </c>
      <c r="B1" s="1" t="s">
        <v>19</v>
      </c>
      <c r="C1" s="1" t="s">
        <v>21</v>
      </c>
    </row>
    <row r="2" spans="1:3" ht="21.75" customHeight="1">
      <c r="A2" s="3" t="s">
        <v>81</v>
      </c>
      <c r="B2" s="4">
        <v>43742</v>
      </c>
      <c r="C2" s="4">
        <v>43482</v>
      </c>
    </row>
    <row r="3" spans="1:3" ht="21.75" customHeight="1">
      <c r="A3" s="3" t="s">
        <v>110</v>
      </c>
      <c r="B3" s="4">
        <v>43742</v>
      </c>
      <c r="C3" s="4">
        <v>43293</v>
      </c>
    </row>
    <row r="4" spans="1:3" ht="21.75" customHeight="1">
      <c r="A4" s="3" t="s">
        <v>192</v>
      </c>
      <c r="B4" s="4">
        <v>43307</v>
      </c>
      <c r="C4" s="4">
        <v>43307</v>
      </c>
    </row>
    <row r="5" spans="1:3" ht="21.75" customHeight="1">
      <c r="A5" s="3" t="s">
        <v>29</v>
      </c>
      <c r="B5" s="4">
        <v>43307</v>
      </c>
      <c r="C5" s="4">
        <v>43307</v>
      </c>
    </row>
    <row r="6" spans="1:3" ht="21.75" customHeight="1">
      <c r="A6" s="3" t="s">
        <v>94</v>
      </c>
      <c r="B6" s="4">
        <v>43272</v>
      </c>
      <c r="C6" s="4">
        <v>43272</v>
      </c>
    </row>
    <row r="7" spans="1:3" ht="21.75" customHeight="1">
      <c r="A7" s="3" t="s">
        <v>142</v>
      </c>
      <c r="B7" s="4">
        <v>43101</v>
      </c>
      <c r="C7" s="4">
        <v>43293</v>
      </c>
    </row>
    <row r="8" spans="1:3" ht="21.75" customHeight="1">
      <c r="A8" s="3" t="s">
        <v>133</v>
      </c>
      <c r="B8" s="4">
        <v>43573</v>
      </c>
      <c r="C8" s="4">
        <v>43573</v>
      </c>
    </row>
    <row r="9" spans="1:3" ht="21.75" customHeight="1">
      <c r="A9" s="3" t="s">
        <v>95</v>
      </c>
      <c r="B9" s="4">
        <v>43573</v>
      </c>
      <c r="C9" s="4">
        <v>43573</v>
      </c>
    </row>
    <row r="10" spans="1:3" ht="21.75" customHeight="1">
      <c r="A10" s="3" t="s">
        <v>106</v>
      </c>
      <c r="B10" s="4">
        <v>43571</v>
      </c>
      <c r="C10" s="4">
        <v>43573</v>
      </c>
    </row>
    <row r="11" spans="1:3" ht="21.75" customHeight="1">
      <c r="A11" s="3" t="s">
        <v>127</v>
      </c>
      <c r="B11" s="4">
        <v>43573</v>
      </c>
      <c r="C11" s="4">
        <v>43573</v>
      </c>
    </row>
    <row r="12" spans="1:3" ht="21.75" customHeight="1">
      <c r="A12" s="3" t="s">
        <v>50</v>
      </c>
      <c r="B12" s="4">
        <v>43634</v>
      </c>
      <c r="C12" s="4">
        <v>43518</v>
      </c>
    </row>
    <row r="13" spans="1:3" ht="21.75" customHeight="1">
      <c r="A13" s="3" t="s">
        <v>129</v>
      </c>
      <c r="B13" s="4">
        <v>43747</v>
      </c>
      <c r="C13" s="4">
        <v>43521</v>
      </c>
    </row>
    <row r="14" spans="1:3" ht="21.75" customHeight="1">
      <c r="A14" s="3" t="s">
        <v>123</v>
      </c>
      <c r="B14" s="4">
        <v>43571</v>
      </c>
      <c r="C14" s="4">
        <v>43571</v>
      </c>
    </row>
    <row r="15" spans="1:3" ht="21.75" customHeight="1">
      <c r="A15" s="1" t="s">
        <v>154</v>
      </c>
      <c r="C15" s="2">
        <v>43573</v>
      </c>
    </row>
    <row r="16" spans="1:3" ht="21.75" customHeight="1">
      <c r="A16" s="3" t="s">
        <v>73</v>
      </c>
      <c r="C16" s="2">
        <v>43573</v>
      </c>
    </row>
    <row r="17" spans="1:3" ht="21.75" customHeight="1">
      <c r="A17" s="1" t="s">
        <v>122</v>
      </c>
      <c r="B17" s="4">
        <v>43573</v>
      </c>
      <c r="C17" s="2">
        <v>43578</v>
      </c>
    </row>
    <row r="18" spans="1:3" ht="21.75" customHeight="1">
      <c r="A18" s="1" t="s">
        <v>151</v>
      </c>
      <c r="C18" s="2">
        <v>43578</v>
      </c>
    </row>
    <row r="19" spans="1:3" ht="21.75" customHeight="1">
      <c r="A19" s="1" t="s">
        <v>77</v>
      </c>
      <c r="C19" s="2">
        <v>43580</v>
      </c>
    </row>
    <row r="20" spans="1:3" ht="21.75" customHeight="1">
      <c r="A20" s="1" t="s">
        <v>88</v>
      </c>
      <c r="C20" s="2">
        <v>43580</v>
      </c>
    </row>
    <row r="21" spans="1:3" ht="21.75" customHeight="1">
      <c r="A21" s="3" t="s">
        <v>99</v>
      </c>
      <c r="C21" s="2">
        <v>43605</v>
      </c>
    </row>
    <row r="22" spans="1:3" ht="21.75" customHeight="1">
      <c r="A22" s="1" t="s">
        <v>82</v>
      </c>
      <c r="C22" s="2">
        <v>43605</v>
      </c>
    </row>
    <row r="23" spans="1:3" ht="21.75" customHeight="1">
      <c r="A23" s="1" t="s">
        <v>156</v>
      </c>
      <c r="C23" s="2">
        <v>43605</v>
      </c>
    </row>
    <row r="24" spans="1:3" ht="21.75" customHeight="1">
      <c r="A24" s="1" t="s">
        <v>36</v>
      </c>
      <c r="C24" s="2">
        <v>43621</v>
      </c>
    </row>
    <row r="25" spans="1:3" ht="21.75" customHeight="1">
      <c r="A25" s="1" t="s">
        <v>167</v>
      </c>
      <c r="C25" s="2">
        <v>43621</v>
      </c>
    </row>
    <row r="26" spans="1:3" ht="21.75" customHeight="1">
      <c r="A26" s="3" t="s">
        <v>136</v>
      </c>
      <c r="C26" s="2">
        <v>43621</v>
      </c>
    </row>
    <row r="27" spans="1:3" ht="21.75" customHeight="1">
      <c r="A27" s="1" t="s">
        <v>135</v>
      </c>
      <c r="C27" s="2">
        <v>43621</v>
      </c>
    </row>
    <row r="28" spans="1:3" ht="21.75" customHeight="1">
      <c r="A28" s="1" t="s">
        <v>148</v>
      </c>
      <c r="C28" s="2">
        <v>43628</v>
      </c>
    </row>
    <row r="29" spans="1:3" ht="21.75" customHeight="1">
      <c r="A29" s="1" t="s">
        <v>147</v>
      </c>
      <c r="C29" s="2">
        <v>43629</v>
      </c>
    </row>
    <row r="30" spans="1:3" ht="21.75" customHeight="1">
      <c r="A30" s="1" t="s">
        <v>171</v>
      </c>
      <c r="C30" s="2">
        <v>43650</v>
      </c>
    </row>
    <row r="31" spans="1:3" ht="21.75" customHeight="1">
      <c r="A31" s="1" t="s">
        <v>140</v>
      </c>
      <c r="C31" s="2">
        <v>43669</v>
      </c>
    </row>
    <row r="32" spans="1:3" ht="21.75" customHeight="1">
      <c r="A32" s="1" t="s">
        <v>155</v>
      </c>
      <c r="C32" s="2">
        <v>43668</v>
      </c>
    </row>
    <row r="33" spans="1:3" ht="21.75" customHeight="1">
      <c r="A33" s="1" t="s">
        <v>160</v>
      </c>
      <c r="C33" s="2">
        <v>43668</v>
      </c>
    </row>
    <row r="34" spans="1:3" ht="21.75" customHeight="1">
      <c r="A34" s="3" t="s">
        <v>128</v>
      </c>
      <c r="C34" s="2">
        <v>43677</v>
      </c>
    </row>
    <row r="35" spans="1:3" ht="21.75" customHeight="1">
      <c r="A35" s="1" t="s">
        <v>107</v>
      </c>
      <c r="C35" s="2">
        <v>43677</v>
      </c>
    </row>
    <row r="36" spans="1:3" ht="21.75" customHeight="1">
      <c r="A36" s="3" t="s">
        <v>112</v>
      </c>
      <c r="C36" s="2">
        <v>43678</v>
      </c>
    </row>
    <row r="37" spans="1:3" ht="21.75" customHeight="1">
      <c r="A37" s="1" t="s">
        <v>76</v>
      </c>
      <c r="C37" s="2">
        <v>43679</v>
      </c>
    </row>
    <row r="38" spans="1:3" ht="21.75" customHeight="1">
      <c r="A38" s="1" t="s">
        <v>116</v>
      </c>
      <c r="C38" s="2">
        <v>43699</v>
      </c>
    </row>
    <row r="39" spans="1:3" ht="21.75" customHeight="1">
      <c r="A39" s="1" t="s">
        <v>30</v>
      </c>
      <c r="C39" s="2">
        <v>43699</v>
      </c>
    </row>
    <row r="40" spans="1:3" ht="21.75" customHeight="1">
      <c r="A40" s="1" t="s">
        <v>24</v>
      </c>
      <c r="C40" s="2">
        <v>43704</v>
      </c>
    </row>
    <row r="41" spans="1:3" ht="21.75" customHeight="1">
      <c r="A41" s="1" t="s">
        <v>137</v>
      </c>
      <c r="C41" s="2">
        <v>43707</v>
      </c>
    </row>
    <row r="42" spans="1:3" ht="21.75" customHeight="1">
      <c r="A42" s="1" t="s">
        <v>80</v>
      </c>
      <c r="C42" s="2">
        <v>43710</v>
      </c>
    </row>
    <row r="43" spans="1:3" ht="21.75" customHeight="1">
      <c r="A43" s="1" t="s">
        <v>120</v>
      </c>
      <c r="C43" s="2">
        <v>43711</v>
      </c>
    </row>
    <row r="44" spans="1:3" ht="21.75" customHeight="1">
      <c r="A44" s="3" t="s">
        <v>26</v>
      </c>
      <c r="C44" s="2">
        <v>43711</v>
      </c>
    </row>
    <row r="45" spans="1:3" ht="21.75" customHeight="1">
      <c r="A45" s="1" t="s">
        <v>27</v>
      </c>
      <c r="C45" s="2">
        <v>43720</v>
      </c>
    </row>
    <row r="46" spans="1:3" ht="21.75" customHeight="1">
      <c r="A46" s="1" t="s">
        <v>102</v>
      </c>
      <c r="C46" s="2">
        <v>43720</v>
      </c>
    </row>
    <row r="47" spans="1:3" ht="21.75" customHeight="1">
      <c r="A47" s="1" t="s">
        <v>90</v>
      </c>
      <c r="C47" s="2">
        <v>43732</v>
      </c>
    </row>
    <row r="48" spans="1:3" ht="21.75" customHeight="1">
      <c r="A48" s="1" t="s">
        <v>117</v>
      </c>
      <c r="C48" s="2">
        <v>43732</v>
      </c>
    </row>
    <row r="49" spans="1:3" ht="21.75" customHeight="1">
      <c r="A49" s="1" t="s">
        <v>165</v>
      </c>
      <c r="C49" s="2">
        <v>43732</v>
      </c>
    </row>
    <row r="50" spans="1:3" ht="21.75" customHeight="1">
      <c r="A50" s="1" t="s">
        <v>143</v>
      </c>
      <c r="C50" s="2">
        <v>43740</v>
      </c>
    </row>
    <row r="51" spans="1:3" ht="21.75" customHeight="1">
      <c r="A51" s="1" t="s">
        <v>141</v>
      </c>
      <c r="C51" s="2">
        <v>43742</v>
      </c>
    </row>
    <row r="52" spans="1:3" ht="21.75" customHeight="1">
      <c r="A52" s="1" t="s">
        <v>83</v>
      </c>
      <c r="C52" s="2">
        <v>43756</v>
      </c>
    </row>
    <row r="53" spans="1:3" ht="21.75" customHeight="1">
      <c r="A53" s="1" t="s">
        <v>89</v>
      </c>
      <c r="C53" s="2">
        <v>43756</v>
      </c>
    </row>
    <row r="54" spans="1:3" ht="21.75" customHeight="1">
      <c r="A54" s="1" t="s">
        <v>130</v>
      </c>
      <c r="C54" s="2">
        <v>43756</v>
      </c>
    </row>
    <row r="55" spans="1:3" ht="21.75" customHeight="1">
      <c r="A55" s="1" t="s">
        <v>138</v>
      </c>
      <c r="C55" s="2">
        <v>43756</v>
      </c>
    </row>
    <row r="56" spans="1:3" ht="21.75" customHeight="1">
      <c r="A56" s="1" t="s">
        <v>51</v>
      </c>
      <c r="C56" s="2">
        <v>43761</v>
      </c>
    </row>
    <row r="57" spans="1:3" ht="21.75" customHeight="1">
      <c r="A57" s="3" t="s">
        <v>97</v>
      </c>
      <c r="C57" s="2">
        <v>43770</v>
      </c>
    </row>
    <row r="58" spans="1:3" ht="21.75" customHeight="1">
      <c r="A58" s="3" t="s">
        <v>39</v>
      </c>
      <c r="C58" s="2">
        <v>43796</v>
      </c>
    </row>
    <row r="59" spans="1:3" ht="21.75" customHeight="1">
      <c r="A59" s="3" t="s">
        <v>71</v>
      </c>
      <c r="C59" s="2">
        <v>43796</v>
      </c>
    </row>
    <row r="60" spans="1:3" ht="21.75" customHeight="1">
      <c r="A60" s="1" t="s">
        <v>158</v>
      </c>
      <c r="C60" s="2">
        <v>43796</v>
      </c>
    </row>
    <row r="61" spans="1:3" ht="21.75" customHeight="1">
      <c r="A61" s="1" t="s">
        <v>139</v>
      </c>
      <c r="C61" s="2">
        <v>43805</v>
      </c>
    </row>
    <row r="62" spans="1:3" ht="21.75" customHeight="1">
      <c r="A62" s="1" t="s">
        <v>41</v>
      </c>
      <c r="C62" s="2">
        <v>43805</v>
      </c>
    </row>
    <row r="63" spans="1:3" ht="21.75" customHeight="1">
      <c r="A63" s="1" t="s">
        <v>93</v>
      </c>
      <c r="C63" s="2">
        <v>43805</v>
      </c>
    </row>
    <row r="64" spans="1:3" ht="21.75" customHeight="1">
      <c r="A64" s="1" t="s">
        <v>37</v>
      </c>
      <c r="B64" s="2">
        <v>43815</v>
      </c>
      <c r="C64" s="2">
        <v>43805</v>
      </c>
    </row>
    <row r="65" spans="1:3" ht="21.75" customHeight="1">
      <c r="A65" s="1" t="s">
        <v>162</v>
      </c>
      <c r="C65" s="2">
        <v>43805</v>
      </c>
    </row>
    <row r="66" spans="1:3" ht="21.75" customHeight="1">
      <c r="A66" s="1" t="s">
        <v>69</v>
      </c>
      <c r="C66" s="2">
        <v>43811</v>
      </c>
    </row>
    <row r="67" spans="1:3" ht="21.75" customHeight="1">
      <c r="A67" s="1" t="s">
        <v>86</v>
      </c>
      <c r="C67" s="2">
        <v>43812</v>
      </c>
    </row>
    <row r="68" spans="1:3" ht="21.75" customHeight="1">
      <c r="A68" s="1" t="s">
        <v>157</v>
      </c>
      <c r="C68" s="2">
        <v>43825</v>
      </c>
    </row>
    <row r="69" spans="1:3" ht="21.75" customHeight="1">
      <c r="A69" s="1" t="s">
        <v>46</v>
      </c>
      <c r="C69" s="2">
        <v>43837</v>
      </c>
    </row>
    <row r="70" spans="1:3" ht="21.75" customHeight="1">
      <c r="A70" s="1" t="s">
        <v>75</v>
      </c>
      <c r="C70" s="2">
        <v>43844</v>
      </c>
    </row>
    <row r="71" spans="1:3" ht="21.75" customHeight="1">
      <c r="A71" s="1" t="s">
        <v>25</v>
      </c>
      <c r="C71" s="2">
        <v>43847</v>
      </c>
    </row>
    <row r="72" spans="1:3" ht="21.75" customHeight="1">
      <c r="A72" s="1" t="s">
        <v>103</v>
      </c>
      <c r="C72" s="2">
        <v>43850</v>
      </c>
    </row>
    <row r="73" spans="1:3" ht="21.75" customHeight="1">
      <c r="A73" s="1" t="s">
        <v>159</v>
      </c>
      <c r="C73" s="2">
        <v>43850</v>
      </c>
    </row>
    <row r="74" spans="1:3" ht="21.75" customHeight="1">
      <c r="A74" s="1" t="s">
        <v>166</v>
      </c>
      <c r="C74" s="2">
        <v>43858</v>
      </c>
    </row>
    <row r="75" spans="1:3" ht="21.75" customHeight="1">
      <c r="A75" s="1" t="s">
        <v>149</v>
      </c>
      <c r="C75" s="2">
        <v>43861</v>
      </c>
    </row>
    <row r="76" spans="1:3" ht="21.75" customHeight="1">
      <c r="A76" s="1" t="s">
        <v>72</v>
      </c>
      <c r="C76" s="2">
        <v>43861</v>
      </c>
    </row>
    <row r="77" spans="1:3" ht="21.75" customHeight="1">
      <c r="A77" s="1" t="s">
        <v>152</v>
      </c>
      <c r="C77" s="2">
        <v>43886</v>
      </c>
    </row>
    <row r="78" spans="1:3" ht="21.75" customHeight="1">
      <c r="A78" s="1" t="s">
        <v>65</v>
      </c>
      <c r="C78" s="2">
        <v>43886</v>
      </c>
    </row>
    <row r="79" spans="1:3" ht="21.75" customHeight="1">
      <c r="A79" s="1" t="s">
        <v>49</v>
      </c>
      <c r="C79" s="2">
        <v>43899</v>
      </c>
    </row>
    <row r="80" spans="1:3" ht="21.75" customHeight="1">
      <c r="A80" s="1" t="s">
        <v>168</v>
      </c>
      <c r="C80" s="2">
        <v>43899</v>
      </c>
    </row>
    <row r="81" spans="1:3" ht="21.75" customHeight="1">
      <c r="A81" s="1" t="s">
        <v>169</v>
      </c>
      <c r="C81" s="2">
        <v>43916</v>
      </c>
    </row>
    <row r="82" spans="1:3" ht="21.75" customHeight="1"/>
    <row r="83" spans="1:3" ht="21.75" customHeight="1"/>
    <row r="84" spans="1:3" ht="21.75" customHeight="1"/>
    <row r="85" spans="1:3" ht="21.75" customHeight="1"/>
    <row r="86" spans="1:3" ht="21.75" customHeight="1"/>
    <row r="87" spans="1:3" ht="21.75" customHeight="1"/>
    <row r="88" spans="1:3" ht="21.75" customHeight="1"/>
    <row r="89" spans="1:3" ht="21.75" customHeight="1"/>
    <row r="90" spans="1:3" ht="21.75" customHeight="1"/>
    <row r="91" spans="1:3" ht="21.75" customHeight="1"/>
    <row r="92" spans="1:3" ht="21.75" customHeight="1"/>
    <row r="93" spans="1:3" ht="21.75" customHeight="1"/>
    <row r="94" spans="1:3" ht="21.75" customHeight="1"/>
    <row r="95" spans="1:3" ht="21.75" customHeight="1"/>
    <row r="96" spans="1:3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autoFilter ref="A1:C81" xr:uid="{00000000-0009-0000-0000-000005000000}"/>
  <phoneticPr fontId="3"/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3</vt:i4>
      </vt:variant>
    </vt:vector>
  </HeadingPairs>
  <TitlesOfParts>
    <vt:vector size="9" baseType="lpstr">
      <vt:lpstr>PaperSummary</vt:lpstr>
      <vt:lpstr>Paper</vt:lpstr>
      <vt:lpstr>INK</vt:lpstr>
      <vt:lpstr>Change Log</vt:lpstr>
      <vt:lpstr>STD not has INK</vt:lpstr>
      <vt:lpstr>STD</vt:lpstr>
      <vt:lpstr>Paper_String</vt:lpstr>
      <vt:lpstr>Paper_Table</vt:lpstr>
      <vt:lpstr>search_string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2020-03-26T03:03:00Z</dcterms:created>
  <dcterms:modified xsi:type="dcterms:W3CDTF">2020-09-29T04:58:09Z</dcterms:modified>
</cp:coreProperties>
</file>