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E71594FA-61D0-014B-900A-5A152FD8D068}" xr6:coauthVersionLast="45" xr6:coauthVersionMax="45" xr10:uidLastSave="{00000000-0000-0000-0000-000000000000}"/>
  <bookViews>
    <workbookView xWindow="0" yWindow="500" windowWidth="25600" windowHeight="12720" xr2:uid="{00000000-000D-0000-FFFF-FFFF00000000}"/>
  </bookViews>
  <sheets>
    <sheet name="PaperSummary" sheetId="320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Paper!$A$5:$J$160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8"/>
  </pivotCaches>
</workbook>
</file>

<file path=xl/calcChain.xml><?xml version="1.0" encoding="utf-8"?>
<calcChain xmlns="http://schemas.openxmlformats.org/spreadsheetml/2006/main">
  <c r="G160" i="2" l="1"/>
  <c r="I160" i="2" s="1"/>
  <c r="K160" i="2"/>
  <c r="G159" i="2"/>
  <c r="I159" i="2" s="1"/>
  <c r="K159" i="2"/>
  <c r="B1" i="320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<sst xmlns="http://schemas.openxmlformats.org/spreadsheetml/2006/main" count="971" uniqueCount="331">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</sst>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36.693877662037" createdVersion="3" refreshedVersion="6" minRefreshableVersion="3" recordCount="154" xr:uid="{1CA9F93A-4219-F541-A903-EE17CF936C0D}">
  <cacheSource type="worksheet">
    <worksheetSource ref="A5:K159" sheet="Paper"/>
  </cacheSource>
  <cacheFields count="11">
    <cacheField name="Arrival" numFmtId="49">
      <sharedItems count="6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m/>
        <n v="0"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  <n v="100"/>
        <n v="12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2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3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5"/>
    <x v="5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2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4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3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4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5"/>
    <x v="5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3"/>
    <x v="3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3"/>
    <x v="3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4"/>
    <x v="4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3"/>
    <x v="3"/>
    <x v="0"/>
    <x v="5"/>
  </r>
  <r>
    <x v="58"/>
    <x v="3"/>
    <x v="19"/>
    <x v="1"/>
    <x v="2"/>
    <x v="0"/>
    <x v="3"/>
    <x v="1"/>
    <x v="3"/>
    <x v="0"/>
    <x v="37"/>
  </r>
  <r>
    <x v="58"/>
    <x v="3"/>
    <x v="19"/>
    <x v="1"/>
    <x v="5"/>
    <x v="0"/>
    <x v="6"/>
    <x v="1"/>
    <x v="12"/>
    <x v="0"/>
    <x v="37"/>
  </r>
  <r>
    <x v="59"/>
    <x v="0"/>
    <x v="0"/>
    <x v="0"/>
    <x v="0"/>
    <x v="0"/>
    <x v="0"/>
    <x v="19"/>
    <x v="16"/>
    <x v="0"/>
    <x v="0"/>
  </r>
  <r>
    <x v="59"/>
    <x v="0"/>
    <x v="7"/>
    <x v="1"/>
    <x v="0"/>
    <x v="0"/>
    <x v="0"/>
    <x v="1"/>
    <x v="1"/>
    <x v="0"/>
    <x v="8"/>
  </r>
  <r>
    <x v="59"/>
    <x v="0"/>
    <x v="7"/>
    <x v="1"/>
    <x v="0"/>
    <x v="0"/>
    <x v="0"/>
    <x v="1"/>
    <x v="1"/>
    <x v="0"/>
    <x v="8"/>
  </r>
  <r>
    <x v="59"/>
    <x v="0"/>
    <x v="4"/>
    <x v="1"/>
    <x v="0"/>
    <x v="0"/>
    <x v="0"/>
    <x v="1"/>
    <x v="1"/>
    <x v="0"/>
    <x v="9"/>
  </r>
  <r>
    <x v="60"/>
    <x v="3"/>
    <x v="16"/>
    <x v="1"/>
    <x v="1"/>
    <x v="0"/>
    <x v="2"/>
    <x v="20"/>
    <x v="19"/>
    <x v="0"/>
    <x v="38"/>
  </r>
  <r>
    <x v="61"/>
    <x v="0"/>
    <x v="7"/>
    <x v="1"/>
    <x v="0"/>
    <x v="0"/>
    <x v="0"/>
    <x v="1"/>
    <x v="1"/>
    <x v="0"/>
    <x v="8"/>
  </r>
  <r>
    <x v="61"/>
    <x v="0"/>
    <x v="0"/>
    <x v="1"/>
    <x v="0"/>
    <x v="0"/>
    <x v="0"/>
    <x v="1"/>
    <x v="1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05D45A-9EDC-E845-96F7-E48B02467789}" name="PaperPivotTable" cacheId="2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2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2"/>
        <item x="14"/>
        <item x="8"/>
        <item x="16"/>
        <item x="19"/>
        <item x="20"/>
        <item x="7"/>
        <item x="18"/>
        <item x="15"/>
        <item x="9"/>
        <item x="13"/>
        <item x="3"/>
        <item x="10"/>
        <item x="5"/>
        <item x="4"/>
        <item x="6"/>
        <item x="11"/>
        <item x="12"/>
        <item x="0"/>
        <item x="17"/>
        <item x="1"/>
      </items>
    </pivotField>
    <pivotField dataField="1" showAll="0" defaultSubtotal="0">
      <items count="20">
        <item x="0"/>
        <item x="13"/>
        <item x="8"/>
        <item x="7"/>
        <item x="4"/>
        <item x="11"/>
        <item x="14"/>
        <item x="5"/>
        <item x="10"/>
        <item x="9"/>
        <item x="1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0" headerRowDxfId="39" dataDxfId="38" totalsRowDxfId="37">
  <autoFilter ref="A5:K160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FF6E-29F9-D24C-87D0-88CAD88A38B8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44236.693854166668</v>
      </c>
    </row>
    <row r="2" spans="2:26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2:26">
      <c r="B3" s="52"/>
      <c r="C3" s="51">
        <v>40</v>
      </c>
      <c r="D3" s="51">
        <v>90</v>
      </c>
      <c r="E3" s="51">
        <v>100</v>
      </c>
      <c r="F3" s="51">
        <v>110</v>
      </c>
      <c r="G3" s="51">
        <v>115</v>
      </c>
      <c r="H3" s="51">
        <v>120</v>
      </c>
      <c r="I3" s="53">
        <v>125</v>
      </c>
      <c r="J3" s="54"/>
      <c r="K3" s="51">
        <v>130</v>
      </c>
      <c r="L3" s="51">
        <v>135</v>
      </c>
      <c r="M3" s="51">
        <v>140</v>
      </c>
      <c r="N3" s="51">
        <v>150</v>
      </c>
      <c r="O3" s="53">
        <v>155</v>
      </c>
      <c r="P3" s="54"/>
      <c r="Q3" s="51">
        <v>160</v>
      </c>
      <c r="R3" s="51">
        <v>165</v>
      </c>
      <c r="S3" s="51">
        <v>175</v>
      </c>
      <c r="T3" s="53">
        <v>185</v>
      </c>
      <c r="U3" s="54"/>
      <c r="V3" s="53">
        <v>205</v>
      </c>
      <c r="W3" s="54"/>
      <c r="X3" s="51">
        <v>210</v>
      </c>
      <c r="Y3" s="51">
        <v>215</v>
      </c>
      <c r="Z3" s="51">
        <v>220</v>
      </c>
    </row>
    <row r="4" spans="2:26">
      <c r="B4" s="7" t="s">
        <v>0</v>
      </c>
      <c r="C4" s="51" t="s">
        <v>253</v>
      </c>
      <c r="D4" s="51" t="s">
        <v>253</v>
      </c>
      <c r="E4" s="51" t="s">
        <v>253</v>
      </c>
      <c r="F4" s="51" t="s">
        <v>253</v>
      </c>
      <c r="G4" s="51" t="s">
        <v>253</v>
      </c>
      <c r="H4" s="51" t="s">
        <v>253</v>
      </c>
      <c r="I4" s="51" t="s">
        <v>261</v>
      </c>
      <c r="J4" s="51" t="s">
        <v>253</v>
      </c>
      <c r="K4" s="51" t="s">
        <v>253</v>
      </c>
      <c r="L4" s="51" t="s">
        <v>253</v>
      </c>
      <c r="M4" s="51" t="s">
        <v>253</v>
      </c>
      <c r="N4" s="51" t="s">
        <v>253</v>
      </c>
      <c r="O4" s="51" t="s">
        <v>261</v>
      </c>
      <c r="P4" s="51" t="s">
        <v>253</v>
      </c>
      <c r="Q4" s="51" t="s">
        <v>253</v>
      </c>
      <c r="R4" s="51" t="s">
        <v>253</v>
      </c>
      <c r="S4" s="51" t="s">
        <v>253</v>
      </c>
      <c r="T4" s="51" t="s">
        <v>261</v>
      </c>
      <c r="U4" s="51" t="s">
        <v>253</v>
      </c>
      <c r="V4" s="51" t="s">
        <v>261</v>
      </c>
      <c r="W4" s="51" t="s">
        <v>253</v>
      </c>
      <c r="X4" s="51" t="s">
        <v>253</v>
      </c>
      <c r="Y4" s="51" t="s">
        <v>253</v>
      </c>
      <c r="Z4" s="51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200</v>
      </c>
      <c r="K17" s="6"/>
      <c r="L17" s="6"/>
      <c r="M17" s="6">
        <v>0</v>
      </c>
      <c r="N17" s="6"/>
      <c r="O17" s="6">
        <v>800</v>
      </c>
      <c r="P17" s="6">
        <v>800</v>
      </c>
      <c r="Q17" s="6"/>
      <c r="R17" s="6">
        <v>1800</v>
      </c>
      <c r="S17" s="6"/>
      <c r="T17" s="6">
        <v>500</v>
      </c>
      <c r="U17" s="6">
        <v>700</v>
      </c>
      <c r="V17" s="6">
        <v>20</v>
      </c>
      <c r="W17" s="6">
        <v>650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0"/>
  <sheetViews>
    <sheetView zoomScale="150" zoomScaleNormal="150" workbookViewId="0">
      <pane ySplit="5" topLeftCell="A141" activePane="bottomLeft" state="frozen"/>
      <selection pane="bottomLeft" activeCell="H154" sqref="H15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330</v>
      </c>
      <c r="B2" s="38" t="s">
        <v>250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 hidden="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 hidden="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 hidden="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500</v>
      </c>
      <c r="I120" s="17">
        <f t="shared" ref="I120:I126" si="20">G120-H120</f>
        <v>100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 hidden="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 hidden="1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 hidden="1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400</v>
      </c>
      <c r="I144" s="17">
        <f t="shared" si="26"/>
        <v>200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 hidden="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100</v>
      </c>
      <c r="I153" s="17">
        <f t="shared" si="28"/>
        <v>500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>F158*E158</f>
        <v>600</v>
      </c>
      <c r="H158" s="17"/>
      <c r="I158" s="17">
        <f>G158-H158</f>
        <v>600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>F159*E159</f>
        <v>600</v>
      </c>
      <c r="H159" s="17"/>
      <c r="I159" s="17">
        <f>G159-H159</f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 hidden="1">
      <c r="A160" s="15"/>
      <c r="B160" s="16"/>
      <c r="C160" s="17"/>
      <c r="D160" s="17"/>
      <c r="E160" s="17"/>
      <c r="F160" s="17"/>
      <c r="G160" s="17">
        <f>F160*E160</f>
        <v>0</v>
      </c>
      <c r="H160" s="17"/>
      <c r="I160" s="17">
        <f>G160-H160</f>
        <v>0</v>
      </c>
      <c r="J160" s="17"/>
      <c r="K160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232</v>
      </c>
      <c r="B1" s="58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2021-02-09T07:39:12Z</dcterms:modified>
</cp:coreProperties>
</file>