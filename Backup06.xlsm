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E6A82794-416D-974E-A524-DF54994F6126}" xr6:coauthVersionLast="45" xr6:coauthVersionMax="45" xr10:uidLastSave="{00000000-0000-0000-0000-000000000000}"/>
  <bookViews>
    <workbookView xWindow="0" yWindow="460" windowWidth="25600" windowHeight="12340" xr2:uid="{00000000-000D-0000-FFFF-FFFF00000000}"/>
  </bookViews>
  <sheets>
    <sheet name="PaperSummary" sheetId="251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Paper!$A$5:$J$128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27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28" i="2" l="1"/>
  <c r="I128" i="2" s="1"/>
  <c r="K128" i="2"/>
  <c r="G127" i="2" l="1"/>
  <c r="I127" i="2" s="1"/>
  <c r="K127" i="2"/>
  <c r="G126" i="2"/>
  <c r="I126" i="2" s="1"/>
  <c r="K126" i="2"/>
  <c r="G125" i="2"/>
  <c r="I125" i="2" s="1"/>
  <c r="K125" i="2"/>
  <c r="G124" i="2"/>
  <c r="I124" i="2" s="1"/>
  <c r="K124" i="2"/>
  <c r="F3" i="3"/>
  <c r="I3" i="2"/>
  <c r="G123" i="2" l="1"/>
  <c r="I123" i="2" s="1"/>
  <c r="K123" i="2"/>
  <c r="G122" i="2"/>
  <c r="I122" i="2" s="1"/>
  <c r="K122" i="2"/>
  <c r="G121" i="2"/>
  <c r="I121" i="2" s="1"/>
  <c r="K121" i="2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<sst xmlns="http://schemas.openxmlformats.org/spreadsheetml/2006/main" count="888" uniqueCount="309">
  <si>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</si>
  <si>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</si>
  <si>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</si>
  <si>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</si>
  <si>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</si>
  <si>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</si>
  <si>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</si>
  <si>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</si>
  <si>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</si>
  <si>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</si>
  <si>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</si>
  <si>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</si>
  <si>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</si>
  <si>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</si>
  <si>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</si>
  <si>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</si>
  <si>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</si>
  <si>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</si>
  <si>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</si>
  <si>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</si>
  <si>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</si>
  <si>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</si>
  <si>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</si>
  <si>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</si>
  <si>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</si>
  <si>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</si>
  <si>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</si>
  <si>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</si>
  <si>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</si>
  <si>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</si>
  <si>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</si>
  <si>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</si>
  <si>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</si>
  <si>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</si>
  <si>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</si>
  <si>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</si>
  <si>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</si>
  <si>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</si>
  <si>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</si>
  <si>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</si>
  <si>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</si>
  <si>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</si>
  <si>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</si>
  <si>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</si>
  <si>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</si>
  <si>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</si>
  <si>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</si>
  <si>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</si>
  <si>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</si>
  <si>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</si>
  <si>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</si>
  <si>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</si>
  <si>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</si>
  <si>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</si>
  <si>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</si>
  <si>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</si>
  <si>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</si>
  <si>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</si>
  <si>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</si>
  <si>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</si>
  <si>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</si>
  <si>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</si>
  <si>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</si>
  <si>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</si>
  <si>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</si>
  <si>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</si>
  <si>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</si>
  <si>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</si>
  <si>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</si>
  <si>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</si>
  <si>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</si>
  <si>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</si>
  <si>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</si>
  <si>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</si>
  <si>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</si>
  <si>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</si>
  <si>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</si>
  <si>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</si>
  <si>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</si>
  <si>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</si>
  <si>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</si>
  <si>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</si>
  <si>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</si>
  <si>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</si>
  <si>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</si>
  <si>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</si>
  <si>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</si>
  <si>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</si>
  <si>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</si>
  <si>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</si>
  <si>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</si>
  <si>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</si>
  <si>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</si>
  <si>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</si>
  <si>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</si>
  <si>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</si>
  <si>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</si>
  <si>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</si>
  <si>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</si>
  <si>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</si>
  <si>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</si>
  <si>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</si>
  <si>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</si>
  <si>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</si>
  <si>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</si>
  <si>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</si>
  <si>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</si>
  <si>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</si>
  <si>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</si>
  <si>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</si>
  <si>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</si>
  <si>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</si>
  <si>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</si>
  <si>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</si>
  <si>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</si>
  <si>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</si>
  <si>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</si>
  <si>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</si>
  <si>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</si>
  <si>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</si>
  <si>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</si>
  <si>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</si>
  <si>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</si>
  <si>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</si>
  <si>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</si>
  <si>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</si>
  <si>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</si>
  <si>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</si>
  <si>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</si>
  <si>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</si>
  <si>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</si>
  <si>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</si>
  <si>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</si>
  <si>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</si>
  <si>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</si>
  <si>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</si>
  <si>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</si>
  <si>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</si>
  <si>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</si>
  <si>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</si>
  <si>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</si>
  <si>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</si>
  <si>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</si>
  <si>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</si>
  <si>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</si>
  <si>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</si>
  <si>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</si>
  <si>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</si>
  <si>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</si>
  <si>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</si>
  <si>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</si>
  <si>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</si>
  <si>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</si>
  <si>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</si>
  <si>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</si>
  <si>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</si>
  <si>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</si>
  <si>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</si>
  <si>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</si>
  <si>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</si>
  <si>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</si>
  <si>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</si>
  <si>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</si>
  <si>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</si>
  <si>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</si>
  <si>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</si>
  <si>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</si>
  <si>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</si>
  <si>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</si>
  <si>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</si>
  <si>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</si>
  <si>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</si>
  <si>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</si>
  <si>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</si>
  <si>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</si>
  <si>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</si>
  <si>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</si>
  <si>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</si>
  <si>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</si>
  <si>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</si>
  <si>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</si>
  <si>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</si>
  <si>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</si>
  <si>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</si>
  <si>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</si>
  <si>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</si>
  <si>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</si>
  <si>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</si>
  <si>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</si>
  <si>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</si>
  <si>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</si>
  <si>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</si>
  <si>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</si>
  <si>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</si>
  <si>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</si>
  <si>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</si>
  <si>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</si>
  <si>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</si>
  <si>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</si>
  <si>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</si>
  <si>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</si>
  <si>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</si>
  <si>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</si>
  <si>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</si>
  <si>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</si>
  <si>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</si>
  <si>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</si>
  <si>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</si>
  <si>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</si>
  <si>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</si>
  <si>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</si>
  <si>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</si>
  <si>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</si>
  <si>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</si>
  <si>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</si>
  <si>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</si>
  <si>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</si>
  <si>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</si>
  <si>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</si>
  <si>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</si>
  <si>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</si>
  <si>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</si>
  <si>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</si>
  <si>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</si>
  <si>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</si>
  <si>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</si>
  <si>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</si>
  <si>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</si>
  <si>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</si>
  <si>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</si>
  <si>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</si>
  <si>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</si>
  <si>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</si>
  <si>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</si>
  <si>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</si>
  <si>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</si>
  <si>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</si>
  <si>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</si>
  <si>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</si>
  <si>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</si>
  <si>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</si>
  <si>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</si>
  <si>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</si>
  <si>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</si>
  <si>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</si>
  <si>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</si>
  <si>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</si>
  <si>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</si>
  <si>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</si>
  <si>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</si>
  <si>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</si>
  <si>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</si>
  <si>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</si>
  <si>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</si>
  <si>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</si>
  <si>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</si>
  <si>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</si>
  <si>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</si>
  <si>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</si>
  <si>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</si>
  <si>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</si>
  <si>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</si>
  <si>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</si>
  <si>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</si>
  <si>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</si>
  <si>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</si>
  <si>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</si>
  <si>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</si>
  <si>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</si>
  <si>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</si>
  <si>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</si>
  <si>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</si>
  <si>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</si>
  <si>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</si>
  <si>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</si>
  <si>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</si>
  <si>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</si>
  <si>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</si>
  <si>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</si>
  <si>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</si>
  <si>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</si>
  <si>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</si>
  <si>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</si>
  <si>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</si>
  <si>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</si>
  <si>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</si>
  <si>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</si>
  <si>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</si>
  <si>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</si>
  <si>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</si>
  <si>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</si>
  <si>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</si>
  <si>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</si>
  <si>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</si>
  <si>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</si>
  <si>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</si>
  <si>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</si>
  <si>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</si>
  <si>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</si>
  <si>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</si>
  <si>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</si>
  <si>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</si>
  <si>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</si>
  <si>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</si>
  <si>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</si>
  <si>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</si>
  <si>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</si>
  <si>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ピンク</t>
  </si>
  <si>
    <t>12/08/2020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</si>
</sst>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\ h:mm\ AM/PM;@"/>
    <numFmt numFmtId="165" formatCode="[$-409]m/d/yy\ h:mm\ AM/PM;@"/>
    <numFmt numFmtId="166" formatCode="yyyy\-mm\-dd;@"/>
  </numFmts>
  <fonts count="25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5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19" fillId="0" borderId="15" xfId="0" applyNumberFormat="1" applyFont="1" applyBorder="1" applyAlignment="1">
      <alignment vertical="center"/>
    </xf>
    <xf numFmtId="0" fontId="20" fillId="0" borderId="16" xfId="0" applyFont="1" applyBorder="1" applyAlignment="1">
      <alignment vertical="center"/>
    </xf>
    <xf numFmtId="0" fontId="19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4" fillId="0" borderId="0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8" fillId="0" borderId="11" xfId="0" applyNumberFormat="1" applyFont="1" applyBorder="1" applyAlignment="1">
      <alignment horizontal="right" vertical="center"/>
    </xf>
    <xf numFmtId="166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7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75.430406481479" createdVersion="3" refreshedVersion="6" minRefreshableVersion="3" recordCount="122" xr:uid="{1B8E09F5-F076-2C45-8711-174478E34C94}">
  <cacheSource type="worksheet">
    <worksheetSource ref="A5:K127" sheet="Paper"/>
  </cacheSource>
  <cacheFields count="11">
    <cacheField name="Arrival" numFmtId="49">
      <sharedItems count="47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</sharedItems>
    </cacheField>
    <cacheField name="Specs" numFmtId="0">
      <sharedItems count="12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</sharedItems>
    </cacheField>
    <cacheField name="Width" numFmtId="0">
      <sharedItems containsSemiMixedTypes="0" containsString="0" containsNumber="1" containsInteger="1" minValue="40" maxValue="220" count="18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9">
        <n v="600"/>
        <n v="300"/>
        <n v="200"/>
        <n v="100"/>
        <n v="60"/>
        <n v="400"/>
        <n v="80"/>
        <n v="500"/>
        <n v="35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0">
        <n v="600"/>
        <n v="1200"/>
        <n v="300"/>
        <n v="200"/>
        <n v="100"/>
        <n v="60"/>
        <n v="400"/>
        <n v="80"/>
        <n v="500"/>
        <n v="350"/>
      </sharedItems>
    </cacheField>
    <cacheField name="Used" numFmtId="0">
      <sharedItems containsString="0" containsBlank="1" containsNumber="1" containsInteger="1" minValue="10" maxValue="600" count="17">
        <n v="600"/>
        <m/>
        <n v="400"/>
        <n v="500"/>
        <n v="570"/>
        <n v="180"/>
        <n v="70"/>
        <n v="300"/>
        <n v="480"/>
        <n v="580"/>
        <n v="585"/>
        <n v="380"/>
        <n v="550"/>
        <n v="10"/>
        <n v="200"/>
        <n v="250"/>
        <n v="80"/>
      </sharedItems>
    </cacheField>
    <cacheField name="Remaining" numFmtId="0">
      <sharedItems containsSemiMixedTypes="0" containsString="0" containsNumber="1" containsInteger="1" minValue="0" maxValue="1200" count="19">
        <n v="0"/>
        <n v="600"/>
        <n v="100"/>
        <n v="1200"/>
        <n v="300"/>
        <n v="200"/>
        <n v="30"/>
        <n v="20"/>
        <n v="130"/>
        <n v="120"/>
        <n v="60"/>
        <n v="400"/>
        <n v="15"/>
        <n v="80"/>
        <n v="50"/>
        <n v="290"/>
        <n v="500"/>
        <n v="350"/>
        <n v="52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3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2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2"/>
    <x v="2"/>
    <x v="0"/>
    <x v="1"/>
  </r>
  <r>
    <x v="8"/>
    <x v="2"/>
    <x v="5"/>
    <x v="1"/>
    <x v="0"/>
    <x v="1"/>
    <x v="1"/>
    <x v="1"/>
    <x v="3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2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3"/>
    <x v="2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4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4"/>
    <x v="0"/>
    <x v="13"/>
  </r>
  <r>
    <x v="16"/>
    <x v="3"/>
    <x v="3"/>
    <x v="1"/>
    <x v="2"/>
    <x v="0"/>
    <x v="3"/>
    <x v="1"/>
    <x v="5"/>
    <x v="0"/>
    <x v="13"/>
  </r>
  <r>
    <x v="12"/>
    <x v="2"/>
    <x v="5"/>
    <x v="1"/>
    <x v="0"/>
    <x v="0"/>
    <x v="0"/>
    <x v="4"/>
    <x v="6"/>
    <x v="2"/>
    <x v="6"/>
  </r>
  <r>
    <x v="12"/>
    <x v="3"/>
    <x v="3"/>
    <x v="1"/>
    <x v="2"/>
    <x v="0"/>
    <x v="3"/>
    <x v="5"/>
    <x v="7"/>
    <x v="0"/>
    <x v="13"/>
  </r>
  <r>
    <x v="12"/>
    <x v="3"/>
    <x v="3"/>
    <x v="1"/>
    <x v="2"/>
    <x v="0"/>
    <x v="3"/>
    <x v="6"/>
    <x v="8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7"/>
    <x v="4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2"/>
    <x v="2"/>
    <x v="15"/>
  </r>
  <r>
    <x v="12"/>
    <x v="0"/>
    <x v="3"/>
    <x v="1"/>
    <x v="0"/>
    <x v="0"/>
    <x v="0"/>
    <x v="8"/>
    <x v="9"/>
    <x v="1"/>
    <x v="4"/>
  </r>
  <r>
    <x v="12"/>
    <x v="1"/>
    <x v="3"/>
    <x v="1"/>
    <x v="0"/>
    <x v="0"/>
    <x v="0"/>
    <x v="3"/>
    <x v="2"/>
    <x v="1"/>
    <x v="16"/>
  </r>
  <r>
    <x v="12"/>
    <x v="1"/>
    <x v="3"/>
    <x v="1"/>
    <x v="0"/>
    <x v="0"/>
    <x v="0"/>
    <x v="8"/>
    <x v="9"/>
    <x v="1"/>
    <x v="16"/>
  </r>
  <r>
    <x v="12"/>
    <x v="1"/>
    <x v="3"/>
    <x v="1"/>
    <x v="0"/>
    <x v="0"/>
    <x v="0"/>
    <x v="7"/>
    <x v="4"/>
    <x v="1"/>
    <x v="16"/>
  </r>
  <r>
    <x v="12"/>
    <x v="1"/>
    <x v="3"/>
    <x v="1"/>
    <x v="0"/>
    <x v="0"/>
    <x v="0"/>
    <x v="9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9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5"/>
    <x v="1"/>
    <x v="21"/>
  </r>
  <r>
    <x v="12"/>
    <x v="7"/>
    <x v="12"/>
    <x v="1"/>
    <x v="3"/>
    <x v="0"/>
    <x v="4"/>
    <x v="1"/>
    <x v="2"/>
    <x v="1"/>
    <x v="22"/>
  </r>
  <r>
    <x v="12"/>
    <x v="7"/>
    <x v="12"/>
    <x v="1"/>
    <x v="0"/>
    <x v="0"/>
    <x v="0"/>
    <x v="10"/>
    <x v="12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1"/>
    <x v="7"/>
    <x v="2"/>
    <x v="23"/>
  </r>
  <r>
    <x v="12"/>
    <x v="6"/>
    <x v="12"/>
    <x v="1"/>
    <x v="2"/>
    <x v="0"/>
    <x v="3"/>
    <x v="1"/>
    <x v="5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2"/>
    <x v="14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1"/>
    <x v="7"/>
    <x v="0"/>
    <x v="27"/>
  </r>
  <r>
    <x v="25"/>
    <x v="0"/>
    <x v="6"/>
    <x v="1"/>
    <x v="0"/>
    <x v="0"/>
    <x v="0"/>
    <x v="12"/>
    <x v="14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7"/>
    <x v="0"/>
    <x v="0"/>
    <x v="14"/>
  </r>
  <r>
    <x v="30"/>
    <x v="2"/>
    <x v="8"/>
    <x v="1"/>
    <x v="1"/>
    <x v="0"/>
    <x v="2"/>
    <x v="13"/>
    <x v="15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2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14"/>
    <x v="11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3"/>
    <x v="2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"/>
    <x v="1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6"/>
    <x v="0"/>
    <x v="30"/>
  </r>
  <r>
    <x v="37"/>
    <x v="11"/>
    <x v="12"/>
    <x v="1"/>
    <x v="7"/>
    <x v="0"/>
    <x v="8"/>
    <x v="1"/>
    <x v="16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5"/>
    <x v="2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6"/>
    <x v="18"/>
    <x v="0"/>
    <x v="32"/>
  </r>
  <r>
    <x v="39"/>
    <x v="0"/>
    <x v="0"/>
    <x v="0"/>
    <x v="0"/>
    <x v="0"/>
    <x v="0"/>
    <x v="3"/>
    <x v="2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12"/>
    <x v="14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14"/>
    <x v="11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1"/>
    <x v="1"/>
    <x v="0"/>
    <x v="1"/>
  </r>
  <r>
    <x v="42"/>
    <x v="0"/>
    <x v="6"/>
    <x v="1"/>
    <x v="0"/>
    <x v="0"/>
    <x v="0"/>
    <x v="1"/>
    <x v="1"/>
    <x v="0"/>
    <x v="10"/>
  </r>
  <r>
    <x v="43"/>
    <x v="0"/>
    <x v="7"/>
    <x v="1"/>
    <x v="0"/>
    <x v="0"/>
    <x v="0"/>
    <x v="1"/>
    <x v="1"/>
    <x v="0"/>
    <x v="8"/>
  </r>
  <r>
    <x v="43"/>
    <x v="0"/>
    <x v="7"/>
    <x v="1"/>
    <x v="0"/>
    <x v="0"/>
    <x v="0"/>
    <x v="1"/>
    <x v="1"/>
    <x v="0"/>
    <x v="8"/>
  </r>
  <r>
    <x v="44"/>
    <x v="0"/>
    <x v="8"/>
    <x v="1"/>
    <x v="0"/>
    <x v="0"/>
    <x v="0"/>
    <x v="1"/>
    <x v="1"/>
    <x v="0"/>
    <x v="12"/>
  </r>
  <r>
    <x v="45"/>
    <x v="2"/>
    <x v="8"/>
    <x v="1"/>
    <x v="7"/>
    <x v="0"/>
    <x v="8"/>
    <x v="1"/>
    <x v="16"/>
    <x v="0"/>
    <x v="28"/>
  </r>
  <r>
    <x v="46"/>
    <x v="0"/>
    <x v="4"/>
    <x v="1"/>
    <x v="0"/>
    <x v="0"/>
    <x v="0"/>
    <x v="1"/>
    <x v="1"/>
    <x v="0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5C6E01-DC84-1C42-A23F-0B203B6EDDAA}" name="PaperPivotTable" cacheId="27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X16" firstHeaderRow="1" firstDataRow="3" firstDataCol="1"/>
  <pivotFields count="11">
    <pivotField showAll="0" defaultSubtotal="0">
      <items count="47">
        <item x="31"/>
        <item x="32"/>
        <item x="30"/>
        <item x="33"/>
        <item x="34"/>
        <item x="35"/>
        <item x="36"/>
        <item x="39"/>
        <item x="29"/>
        <item x="38"/>
        <item x="40"/>
        <item x="41"/>
        <item x="42"/>
        <item x="43"/>
        <item x="44"/>
        <item x="45"/>
        <item x="46"/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2">
        <item x="5"/>
        <item x="1"/>
        <item x="7"/>
        <item x="10"/>
        <item x="4"/>
        <item x="6"/>
        <item x="8"/>
        <item x="2"/>
        <item x="3"/>
        <item x="11"/>
        <item x="0"/>
        <item x="9"/>
      </items>
    </pivotField>
    <pivotField axis="axisCol" showAll="0" defaultSubtotal="0">
      <items count="18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9">
        <item x="4"/>
        <item x="6"/>
        <item x="3"/>
        <item x="2"/>
        <item x="1"/>
        <item x="8"/>
        <item x="5"/>
        <item x="7"/>
        <item x="0"/>
      </items>
    </pivotField>
    <pivotField showAll="0" defaultSubtotal="0">
      <items count="2">
        <item x="0"/>
        <item x="1"/>
      </items>
    </pivotField>
    <pivotField showAll="0" defaultSubtotal="0">
      <items count="10">
        <item x="5"/>
        <item x="7"/>
        <item x="4"/>
        <item x="3"/>
        <item x="2"/>
        <item x="9"/>
        <item x="6"/>
        <item x="8"/>
        <item x="0"/>
        <item x="1"/>
      </items>
    </pivotField>
    <pivotField showAll="0" defaultSubtotal="0">
      <items count="17">
        <item x="13"/>
        <item x="6"/>
        <item x="16"/>
        <item x="5"/>
        <item x="14"/>
        <item x="15"/>
        <item x="7"/>
        <item x="11"/>
        <item x="2"/>
        <item x="8"/>
        <item x="3"/>
        <item x="12"/>
        <item x="4"/>
        <item x="9"/>
        <item x="10"/>
        <item x="0"/>
        <item x="1"/>
      </items>
    </pivotField>
    <pivotField dataField="1" showAll="0" defaultSubtotal="0">
      <items count="19">
        <item x="0"/>
        <item x="12"/>
        <item x="7"/>
        <item x="6"/>
        <item x="14"/>
        <item x="10"/>
        <item x="13"/>
        <item x="2"/>
        <item x="9"/>
        <item x="8"/>
        <item x="5"/>
        <item x="15"/>
        <item x="4"/>
        <item x="17"/>
        <item x="11"/>
        <item x="16"/>
        <item x="18"/>
        <item x="1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3">
        <item x="17"/>
        <item x="22"/>
        <item x="32"/>
        <item x="25"/>
        <item x="31"/>
        <item x="11"/>
        <item x="3"/>
        <item x="15"/>
        <item x="16"/>
        <item x="21"/>
        <item x="23"/>
        <item x="29"/>
        <item x="6"/>
        <item x="28"/>
        <item x="14"/>
        <item x="19"/>
        <item x="13"/>
        <item x="30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2">
    <field x="2"/>
    <field x="3"/>
  </colFields>
  <colItems count="22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28" headerRowDxfId="39" dataDxfId="38" totalsRowDxfId="37">
  <autoFilter ref="A5:K128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ピンク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4DCC3-28E2-A144-9225-444F250735C8}">
  <dimension ref="B1:X16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3.8984375" bestFit="1" customWidth="1"/>
    <col min="23" max="24" width="5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3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11.8984375" bestFit="1" customWidth="1"/>
  </cols>
  <sheetData>
    <row r="1" spans="2:24" ht="7.5" customHeight="1"/>
    <row r="2" spans="2:24">
      <c r="B2" s="7" t="s">
        <v>201</v>
      </c>
      <c r="C2" s="7" t="s">
        <v>197</v>
      </c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</row>
    <row r="3" spans="2:24">
      <c r="B3" s="56"/>
      <c r="C3" s="55">
        <v>40</v>
      </c>
      <c r="D3" s="55">
        <v>90</v>
      </c>
      <c r="E3" s="55">
        <v>100</v>
      </c>
      <c r="F3" s="55">
        <v>115</v>
      </c>
      <c r="G3" s="55">
        <v>120</v>
      </c>
      <c r="H3" s="57">
        <v>125</v>
      </c>
      <c r="I3" s="58"/>
      <c r="J3" s="55">
        <v>130</v>
      </c>
      <c r="K3" s="55">
        <v>135</v>
      </c>
      <c r="L3" s="55">
        <v>140</v>
      </c>
      <c r="M3" s="55">
        <v>150</v>
      </c>
      <c r="N3" s="57">
        <v>155</v>
      </c>
      <c r="O3" s="58"/>
      <c r="P3" s="55">
        <v>160</v>
      </c>
      <c r="Q3" s="55">
        <v>165</v>
      </c>
      <c r="R3" s="55">
        <v>175</v>
      </c>
      <c r="S3" s="57">
        <v>185</v>
      </c>
      <c r="T3" s="58"/>
      <c r="U3" s="57">
        <v>205</v>
      </c>
      <c r="V3" s="58"/>
      <c r="W3" s="55">
        <v>215</v>
      </c>
      <c r="X3" s="55">
        <v>220</v>
      </c>
    </row>
    <row r="4" spans="2:24">
      <c r="B4" s="7" t="s">
        <v>0</v>
      </c>
      <c r="C4" s="55" t="s">
        <v>257</v>
      </c>
      <c r="D4" s="55" t="s">
        <v>257</v>
      </c>
      <c r="E4" s="55" t="s">
        <v>257</v>
      </c>
      <c r="F4" s="55" t="s">
        <v>257</v>
      </c>
      <c r="G4" s="55" t="s">
        <v>257</v>
      </c>
      <c r="H4" s="55" t="s">
        <v>267</v>
      </c>
      <c r="I4" s="55" t="s">
        <v>257</v>
      </c>
      <c r="J4" s="55" t="s">
        <v>257</v>
      </c>
      <c r="K4" s="55" t="s">
        <v>257</v>
      </c>
      <c r="L4" s="55" t="s">
        <v>257</v>
      </c>
      <c r="M4" s="55" t="s">
        <v>257</v>
      </c>
      <c r="N4" s="55" t="s">
        <v>267</v>
      </c>
      <c r="O4" s="55" t="s">
        <v>257</v>
      </c>
      <c r="P4" s="55" t="s">
        <v>257</v>
      </c>
      <c r="Q4" s="55" t="s">
        <v>257</v>
      </c>
      <c r="R4" s="55" t="s">
        <v>257</v>
      </c>
      <c r="S4" s="55" t="s">
        <v>267</v>
      </c>
      <c r="T4" s="55" t="s">
        <v>257</v>
      </c>
      <c r="U4" s="55" t="s">
        <v>267</v>
      </c>
      <c r="V4" s="55" t="s">
        <v>257</v>
      </c>
      <c r="W4" s="55" t="s">
        <v>257</v>
      </c>
      <c r="X4" s="55" t="s">
        <v>257</v>
      </c>
    </row>
    <row r="5" spans="2:24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</row>
    <row r="6" spans="2:24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2:24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</row>
    <row r="8" spans="2:24">
      <c r="B8" s="5" t="s">
        <v>261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</row>
    <row r="9" spans="2:24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</row>
    <row r="10" spans="2:24">
      <c r="B10" s="5" t="s">
        <v>230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</row>
    <row r="11" spans="2:24">
      <c r="B11" s="5" t="s">
        <v>231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  <c r="X11" s="6">
        <v>100</v>
      </c>
    </row>
    <row r="12" spans="2:24">
      <c r="B12" s="5" t="s">
        <v>12</v>
      </c>
      <c r="C12" s="6"/>
      <c r="D12" s="6">
        <v>1100</v>
      </c>
      <c r="E12" s="6"/>
      <c r="F12" s="6"/>
      <c r="G12" s="6"/>
      <c r="H12" s="6"/>
      <c r="I12" s="6"/>
      <c r="J12" s="6">
        <v>1230</v>
      </c>
      <c r="K12" s="6"/>
      <c r="L12" s="6">
        <v>790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</row>
    <row r="13" spans="2:24">
      <c r="B13" s="5" t="s">
        <v>209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2:24">
      <c r="B14" s="5" t="s">
        <v>294</v>
      </c>
      <c r="C14" s="6"/>
      <c r="D14" s="6"/>
      <c r="E14" s="6">
        <v>1800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</row>
    <row r="15" spans="2:24">
      <c r="B15" s="5" t="s">
        <v>253</v>
      </c>
      <c r="C15" s="6"/>
      <c r="D15" s="6">
        <v>1620</v>
      </c>
      <c r="E15" s="6"/>
      <c r="F15" s="6">
        <v>50</v>
      </c>
      <c r="G15" s="6"/>
      <c r="H15" s="6">
        <v>1300</v>
      </c>
      <c r="I15" s="6">
        <v>650</v>
      </c>
      <c r="J15" s="6"/>
      <c r="K15" s="6"/>
      <c r="L15" s="6">
        <v>600</v>
      </c>
      <c r="M15" s="6"/>
      <c r="N15" s="6">
        <v>600</v>
      </c>
      <c r="O15" s="6">
        <v>600</v>
      </c>
      <c r="P15" s="6"/>
      <c r="Q15" s="6">
        <v>1600</v>
      </c>
      <c r="R15" s="6"/>
      <c r="S15" s="6">
        <v>700</v>
      </c>
      <c r="T15" s="6">
        <v>700</v>
      </c>
      <c r="U15" s="6">
        <v>20</v>
      </c>
      <c r="V15" s="6">
        <v>700</v>
      </c>
      <c r="W15" s="6">
        <v>600</v>
      </c>
      <c r="X15" s="6"/>
    </row>
    <row r="16" spans="2:24">
      <c r="B16" s="5" t="s">
        <v>229</v>
      </c>
      <c r="C16" s="6">
        <v>240</v>
      </c>
      <c r="D16" s="6"/>
      <c r="E16" s="6">
        <v>420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28"/>
  <sheetViews>
    <sheetView zoomScale="107" zoomScaleNormal="107" workbookViewId="0">
      <pane ySplit="5" topLeftCell="A126" activePane="bottomLeft" state="frozen"/>
      <selection pane="bottomLeft" activeCell="A128" sqref="A128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5" t="s">
        <v>254</v>
      </c>
      <c r="I2" s="61" t="s">
        <v>235</v>
      </c>
      <c r="J2" s="62"/>
      <c r="M2" s="30"/>
      <c r="N2" s="30"/>
      <c r="O2" s="30"/>
      <c r="P2" s="30"/>
    </row>
    <row r="3" spans="1:19" ht="23" thickBot="1">
      <c r="I3" s="59">
        <f>LastSavedTimeStamp()</f>
        <v>44175.426446759258</v>
      </c>
      <c r="J3" s="60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9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600</v>
      </c>
      <c r="I7" s="17">
        <f t="shared" si="1"/>
        <v>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9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600</v>
      </c>
      <c r="I9" s="17">
        <f t="shared" si="1"/>
        <v>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6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>
        <v>400</v>
      </c>
      <c r="I13" s="17">
        <v>100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500</v>
      </c>
      <c r="I23" s="17">
        <f t="shared" si="1"/>
        <v>100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50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51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9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33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9" t="s">
        <v>275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21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19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270</v>
      </c>
      <c r="B72" s="19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269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269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269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272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272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272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276</v>
      </c>
      <c r="B80" s="16" t="s">
        <v>253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550</v>
      </c>
      <c r="I80" s="17">
        <f t="shared" ref="I80:I85" si="8">G80-H80</f>
        <v>50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278</v>
      </c>
      <c r="B81" s="19" t="s">
        <v>279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278</v>
      </c>
      <c r="B82" s="19" t="s">
        <v>279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6" t="s">
        <v>277</v>
      </c>
      <c r="B83" s="49" t="s">
        <v>253</v>
      </c>
      <c r="C83" s="47">
        <v>165</v>
      </c>
      <c r="D83" s="47"/>
      <c r="E83" s="47">
        <v>600</v>
      </c>
      <c r="F83" s="47">
        <v>1</v>
      </c>
      <c r="G83" s="17">
        <f t="shared" si="7"/>
        <v>600</v>
      </c>
      <c r="H83" s="47">
        <v>600</v>
      </c>
      <c r="I83" s="17">
        <f t="shared" si="8"/>
        <v>0</v>
      </c>
      <c r="J83" s="48"/>
      <c r="K83" s="20" t="str">
        <f>CONCATENATE(Table2[[#This Row],[Specs]],Table2[[#This Row],[Width]],Table2[[#This Row],[Slitting]])</f>
        <v>y ユポ80 MDN 8GB165</v>
      </c>
    </row>
    <row r="84" spans="1:11">
      <c r="A84" s="46" t="s">
        <v>277</v>
      </c>
      <c r="B84" s="49" t="s">
        <v>253</v>
      </c>
      <c r="C84" s="47">
        <v>140</v>
      </c>
      <c r="D84" s="47"/>
      <c r="E84" s="47">
        <v>600</v>
      </c>
      <c r="F84" s="47">
        <v>1</v>
      </c>
      <c r="G84" s="17">
        <f t="shared" si="7"/>
        <v>600</v>
      </c>
      <c r="H84" s="47">
        <v>600</v>
      </c>
      <c r="I84" s="17">
        <f t="shared" si="8"/>
        <v>0</v>
      </c>
      <c r="J84" s="48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280</v>
      </c>
      <c r="B85" s="19" t="s">
        <v>281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282</v>
      </c>
      <c r="B86" s="19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600</v>
      </c>
      <c r="I86" s="17">
        <f t="shared" ref="I86:I94" si="10">G86-H86</f>
        <v>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284</v>
      </c>
      <c r="B87" s="19" t="s">
        <v>285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284</v>
      </c>
      <c r="B88" s="19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8"/>
      <c r="K88" s="20" t="str">
        <f>CONCATENATE(Table2[[#This Row],[Specs]],Table2[[#This Row],[Width]],Table2[[#This Row],[Slitting]])</f>
        <v>Nキャスト&lt;73&gt;ME80E90</v>
      </c>
    </row>
    <row r="89" spans="1:11">
      <c r="A89" s="15" t="s">
        <v>286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8"/>
      <c r="K89" s="20" t="str">
        <f>CONCATENATE(Table2[[#This Row],[Specs]],Table2[[#This Row],[Width]],Table2[[#This Row],[Slitting]])</f>
        <v>Nキャスト&lt;73&gt;ME80E140</v>
      </c>
    </row>
    <row r="90" spans="1:11">
      <c r="A90" s="15" t="s">
        <v>287</v>
      </c>
      <c r="B90" s="19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8"/>
      <c r="K90" s="20" t="str">
        <f>CONCATENATE(Table2[[#This Row],[Specs]],Table2[[#This Row],[Width]],Table2[[#This Row],[Slitting]])</f>
        <v>N 上質&lt;55&gt;ME 80E220</v>
      </c>
    </row>
    <row r="91" spans="1:11">
      <c r="A91" s="15" t="s">
        <v>288</v>
      </c>
      <c r="B91" s="19" t="s">
        <v>253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600</v>
      </c>
      <c r="I91" s="17">
        <f t="shared" si="10"/>
        <v>0</v>
      </c>
      <c r="J91" s="18"/>
      <c r="K91" s="20" t="str">
        <f>CONCATENATE(Table2[[#This Row],[Specs]],Table2[[#This Row],[Width]],Table2[[#This Row],[Slitting]])</f>
        <v>y ユポ80 MDN 8GB165</v>
      </c>
    </row>
    <row r="92" spans="1:11">
      <c r="A92" s="15" t="s">
        <v>288</v>
      </c>
      <c r="B92" s="18" t="s">
        <v>253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8"/>
      <c r="K92" s="20" t="str">
        <f>CONCATENATE(Table2[[#This Row],[Specs]],Table2[[#This Row],[Width]],Table2[[#This Row],[Slitting]])</f>
        <v>y ユポ80 MDN 8GB215</v>
      </c>
    </row>
    <row r="93" spans="1:11">
      <c r="A93" s="15" t="s">
        <v>287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8"/>
      <c r="K93" s="20" t="str">
        <f>CONCATENATE(Table2[[#This Row],[Specs]],Table2[[#This Row],[Width]],Table2[[#This Row],[Slitting]])</f>
        <v>N 上質&lt;55&gt;ME 80E220</v>
      </c>
    </row>
    <row r="94" spans="1:11">
      <c r="A94" s="15" t="s">
        <v>290</v>
      </c>
      <c r="B94" s="19" t="s">
        <v>253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8"/>
      <c r="K94" s="20" t="str">
        <f>CONCATENATE(Table2[[#This Row],[Specs]],Table2[[#This Row],[Width]],Table2[[#This Row],[Slitting]])</f>
        <v>y ユポ80 MDN 8GB155</v>
      </c>
    </row>
    <row r="95" spans="1:11">
      <c r="A95" s="15" t="s">
        <v>290</v>
      </c>
      <c r="B95" s="18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8"/>
      <c r="K95" s="20" t="str">
        <f>CONCATENATE(Table2[[#This Row],[Specs]],Table2[[#This Row],[Width]],Table2[[#This Row],[Slitting]])</f>
        <v>Nキャスト&lt;73&gt;ME80E90</v>
      </c>
    </row>
    <row r="96" spans="1:11">
      <c r="A96" s="15" t="s">
        <v>290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200</v>
      </c>
      <c r="I96" s="17">
        <f t="shared" si="12"/>
        <v>400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>
      <c r="A97" s="15" t="s">
        <v>290</v>
      </c>
      <c r="B97" s="19" t="s">
        <v>253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8"/>
      <c r="K97" s="20" t="str">
        <f>CONCATENATE(Table2[[#This Row],[Specs]],Table2[[#This Row],[Width]],Table2[[#This Row],[Slitting]])</f>
        <v>y ユポ80 MDN 8GB165</v>
      </c>
    </row>
    <row r="98" spans="1:11">
      <c r="A98" s="15" t="s">
        <v>290</v>
      </c>
      <c r="B98" s="16" t="s">
        <v>253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8"/>
      <c r="K98" s="20" t="str">
        <f>CONCATENATE(Table2[[#This Row],[Specs]],Table2[[#This Row],[Width]],Table2[[#This Row],[Slitting]])</f>
        <v>y ユポ80 MDN 8GB155</v>
      </c>
    </row>
    <row r="99" spans="1:11">
      <c r="A99" s="15" t="s">
        <v>290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500</v>
      </c>
      <c r="I99" s="17">
        <f t="shared" si="12"/>
        <v>100</v>
      </c>
      <c r="J99" s="18"/>
      <c r="K99" s="20" t="str">
        <f>CONCATENATE(Table2[[#This Row],[Specs]],Table2[[#This Row],[Width]],Table2[[#This Row],[Slitting]])</f>
        <v>Nキャスト&lt;73&gt;ME80E90</v>
      </c>
    </row>
    <row r="100" spans="1:11">
      <c r="A100" s="15" t="s">
        <v>291</v>
      </c>
      <c r="B100" s="19" t="s">
        <v>253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8"/>
      <c r="K100" s="20" t="str">
        <f>CONCATENATE(Table2[[#This Row],[Specs]],Table2[[#This Row],[Width]],Table2[[#This Row],[Slitting]])</f>
        <v>y ユポ80 MDN 8GB165</v>
      </c>
    </row>
    <row r="101" spans="1:11">
      <c r="A101" s="15" t="s">
        <v>291</v>
      </c>
      <c r="B101" s="19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>
      <c r="A102" s="15" t="s">
        <v>292</v>
      </c>
      <c r="B102" s="19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>
      <c r="A103" s="15" t="s">
        <v>292</v>
      </c>
      <c r="B103" s="19" t="s">
        <v>253</v>
      </c>
      <c r="C103" s="17">
        <v>185</v>
      </c>
      <c r="D103" s="17" t="s">
        <v>267</v>
      </c>
      <c r="E103" s="17">
        <v>600</v>
      </c>
      <c r="F103" s="17">
        <v>1</v>
      </c>
      <c r="G103" s="17">
        <f t="shared" si="13"/>
        <v>600</v>
      </c>
      <c r="H103" s="17"/>
      <c r="I103" s="17">
        <f t="shared" si="14"/>
        <v>600</v>
      </c>
      <c r="J103" s="18"/>
      <c r="K103" s="20" t="str">
        <f>CONCATENATE(Table2[[#This Row],[Specs]],Table2[[#This Row],[Width]],Table2[[#This Row],[Slitting]])</f>
        <v>y ユポ80 MDN 8GB185i 一本刃</v>
      </c>
    </row>
    <row r="104" spans="1:11">
      <c r="A104" s="15" t="s">
        <v>292</v>
      </c>
      <c r="B104" s="19" t="s">
        <v>253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8"/>
      <c r="K104" s="20" t="str">
        <f>CONCATENATE(Table2[[#This Row],[Specs]],Table2[[#This Row],[Width]],Table2[[#This Row],[Slitting]])</f>
        <v>y ユポ80 MDN 8GB165</v>
      </c>
    </row>
    <row r="105" spans="1:11">
      <c r="A105" s="15" t="s">
        <v>293</v>
      </c>
      <c r="B105" s="16" t="s">
        <v>294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8"/>
      <c r="K105" s="20" t="str">
        <f>CONCATENATE(Table2[[#This Row],[Specs]],Table2[[#This Row],[Width]],Table2[[#This Row],[Slitting]])</f>
        <v>SLアートN/P91/g7B100</v>
      </c>
    </row>
    <row r="106" spans="1:11">
      <c r="A106" s="15" t="s">
        <v>295</v>
      </c>
      <c r="B106" s="16" t="s">
        <v>294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>
      <c r="A107" s="15" t="s">
        <v>295</v>
      </c>
      <c r="B107" s="16" t="s">
        <v>294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>
      <c r="A108" s="15" t="s">
        <v>295</v>
      </c>
      <c r="B108" s="16" t="s">
        <v>294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>
      <c r="A109" s="15" t="s">
        <v>295</v>
      </c>
      <c r="B109" s="16" t="s">
        <v>294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8"/>
      <c r="K109" s="20" t="str">
        <f>CONCATENATE(Table2[[#This Row],[Specs]],Table2[[#This Row],[Width]],Table2[[#This Row],[Slitting]])</f>
        <v>SLアートN/P91/g7B100</v>
      </c>
    </row>
    <row r="110" spans="1:11">
      <c r="A110" s="15" t="s">
        <v>297</v>
      </c>
      <c r="B110" s="16" t="s">
        <v>298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8"/>
      <c r="K110" s="20" t="str">
        <f>CONCATENATE(Table2[[#This Row],[Specs]],Table2[[#This Row],[Width]],Table2[[#This Row],[Slitting]])</f>
        <v>j 上質&lt;70&gt; ME 7GB90</v>
      </c>
    </row>
    <row r="111" spans="1:11">
      <c r="A111" s="15" t="s">
        <v>297</v>
      </c>
      <c r="B111" s="16" t="s">
        <v>298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8"/>
      <c r="K111" s="20" t="str">
        <f>CONCATENATE(Table2[[#This Row],[Specs]],Table2[[#This Row],[Width]],Table2[[#This Row],[Slitting]])</f>
        <v>j 上質&lt;70&gt; ME 7GB140</v>
      </c>
    </row>
    <row r="112" spans="1:11">
      <c r="A112" s="15" t="s">
        <v>300</v>
      </c>
      <c r="B112" s="16" t="s">
        <v>253</v>
      </c>
      <c r="C112" s="17">
        <v>185</v>
      </c>
      <c r="D112" s="17" t="s">
        <v>267</v>
      </c>
      <c r="E112" s="17">
        <v>600</v>
      </c>
      <c r="F112" s="17">
        <v>1</v>
      </c>
      <c r="G112" s="17">
        <f t="shared" si="15"/>
        <v>600</v>
      </c>
      <c r="H112" s="17">
        <v>500</v>
      </c>
      <c r="I112" s="17">
        <f t="shared" si="16"/>
        <v>100</v>
      </c>
      <c r="J112" s="18"/>
      <c r="K112" s="20" t="str">
        <f>CONCATENATE(Table2[[#This Row],[Specs]],Table2[[#This Row],[Width]],Table2[[#This Row],[Slitting]])</f>
        <v>y ユポ80 MDN 8GB185i 一本刃</v>
      </c>
    </row>
    <row r="113" spans="1:11">
      <c r="A113" s="15" t="s">
        <v>301</v>
      </c>
      <c r="B113" s="19" t="s">
        <v>253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8"/>
      <c r="K113" s="20" t="str">
        <f>CONCATENATE(Table2[[#This Row],[Specs]],Table2[[#This Row],[Width]],Table2[[#This Row],[Slitting]])</f>
        <v>y ユポ80 MDN 8GB165</v>
      </c>
    </row>
    <row r="114" spans="1:11">
      <c r="A114" s="15" t="s">
        <v>301</v>
      </c>
      <c r="B114" s="19" t="s">
        <v>253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8"/>
      <c r="K114" s="20" t="str">
        <f>CONCATENATE(Table2[[#This Row],[Specs]],Table2[[#This Row],[Width]],Table2[[#This Row],[Slitting]])</f>
        <v>y ユポ80 MDN 8GB165</v>
      </c>
    </row>
    <row r="115" spans="1:11">
      <c r="A115" s="15" t="s">
        <v>301</v>
      </c>
      <c r="B115" s="19" t="s">
        <v>261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8"/>
      <c r="K115" s="20" t="str">
        <f>CONCATENATE(Table2[[#This Row],[Specs]],Table2[[#This Row],[Width]],Table2[[#This Row],[Slitting]])</f>
        <v>j 上質&lt;70&gt; ME 7GB160</v>
      </c>
    </row>
    <row r="116" spans="1:11">
      <c r="A116" s="15" t="s">
        <v>301</v>
      </c>
      <c r="B116" s="16" t="s">
        <v>261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8"/>
      <c r="K116" s="20" t="str">
        <f>CONCATENATE(Table2[[#This Row],[Specs]],Table2[[#This Row],[Width]],Table2[[#This Row],[Slitting]])</f>
        <v>j 上質&lt;70&gt; ME 7GB160</v>
      </c>
    </row>
    <row r="117" spans="1:11">
      <c r="A117" s="15" t="s">
        <v>302</v>
      </c>
      <c r="B117" s="19" t="s">
        <v>253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8"/>
      <c r="K117" s="20" t="str">
        <f>CONCATENATE(Table2[[#This Row],[Specs]],Table2[[#This Row],[Width]],Table2[[#This Row],[Slitting]])</f>
        <v>y ユポ80 MDN 8GB165</v>
      </c>
    </row>
    <row r="118" spans="1:11">
      <c r="A118" s="15" t="s">
        <v>302</v>
      </c>
      <c r="B118" s="19" t="s">
        <v>253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8"/>
      <c r="K118" s="20" t="str">
        <f>CONCATENATE(Table2[[#This Row],[Specs]],Table2[[#This Row],[Width]],Table2[[#This Row],[Slitting]])</f>
        <v>y ユポ80 MDN 8GB165</v>
      </c>
    </row>
    <row r="119" spans="1:11">
      <c r="A119" s="15" t="s">
        <v>302</v>
      </c>
      <c r="B119" s="16" t="s">
        <v>253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200</v>
      </c>
      <c r="I119" s="17">
        <f t="shared" si="18"/>
        <v>400</v>
      </c>
      <c r="J119" s="18"/>
      <c r="K119" s="20" t="str">
        <f>CONCATENATE(Table2[[#This Row],[Specs]],Table2[[#This Row],[Width]],Table2[[#This Row],[Slitting]])</f>
        <v>y ユポ80 MDN 8GB165</v>
      </c>
    </row>
    <row r="120" spans="1:11">
      <c r="A120" s="15" t="s">
        <v>303</v>
      </c>
      <c r="B120" s="19" t="s">
        <v>253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600</v>
      </c>
      <c r="I120" s="17">
        <f t="shared" si="18"/>
        <v>0</v>
      </c>
      <c r="J120" s="18"/>
      <c r="K120" s="20" t="str">
        <f>CONCATENATE(Table2[[#This Row],[Specs]],Table2[[#This Row],[Width]],Table2[[#This Row],[Slitting]])</f>
        <v>y ユポ80 MDN 8GB165</v>
      </c>
    </row>
    <row r="121" spans="1:11">
      <c r="A121" s="15" t="s">
        <v>303</v>
      </c>
      <c r="B121" s="18" t="s">
        <v>253</v>
      </c>
      <c r="C121" s="17">
        <v>185</v>
      </c>
      <c r="D121" s="17"/>
      <c r="E121" s="17">
        <v>600</v>
      </c>
      <c r="F121" s="17">
        <v>1</v>
      </c>
      <c r="G121" s="17">
        <f t="shared" ref="G121:G127" si="19">F121*E121</f>
        <v>600</v>
      </c>
      <c r="H121" s="17"/>
      <c r="I121" s="17">
        <f t="shared" ref="I121:I127" si="20">G121-H121</f>
        <v>600</v>
      </c>
      <c r="J121" s="18"/>
      <c r="K121" s="20" t="str">
        <f>CONCATENATE(Table2[[#This Row],[Specs]],Table2[[#This Row],[Width]],Table2[[#This Row],[Slitting]])</f>
        <v>y ユポ80 MDN 8GB185</v>
      </c>
    </row>
    <row r="122" spans="1:11">
      <c r="A122" s="15" t="s">
        <v>303</v>
      </c>
      <c r="B122" s="18" t="s">
        <v>253</v>
      </c>
      <c r="C122" s="17">
        <v>125</v>
      </c>
      <c r="D122" s="17"/>
      <c r="E122" s="17">
        <v>600</v>
      </c>
      <c r="F122" s="17">
        <v>1</v>
      </c>
      <c r="G122" s="17">
        <f t="shared" si="19"/>
        <v>600</v>
      </c>
      <c r="H122" s="17"/>
      <c r="I122" s="17">
        <f t="shared" si="20"/>
        <v>600</v>
      </c>
      <c r="J122" s="18"/>
      <c r="K122" s="20" t="str">
        <f>CONCATENATE(Table2[[#This Row],[Specs]],Table2[[#This Row],[Width]],Table2[[#This Row],[Slitting]])</f>
        <v>y ユポ80 MDN 8GB125</v>
      </c>
    </row>
    <row r="123" spans="1:11">
      <c r="A123" s="15" t="s">
        <v>304</v>
      </c>
      <c r="B123" s="18" t="s">
        <v>253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/>
      <c r="I123" s="17">
        <f t="shared" si="20"/>
        <v>600</v>
      </c>
      <c r="J123" s="18"/>
      <c r="K123" s="20" t="str">
        <f>CONCATENATE(Table2[[#This Row],[Specs]],Table2[[#This Row],[Width]],Table2[[#This Row],[Slitting]])</f>
        <v>y ユポ80 MDN 8GB165</v>
      </c>
    </row>
    <row r="124" spans="1:11">
      <c r="A124" s="15" t="s">
        <v>304</v>
      </c>
      <c r="B124" s="18" t="s">
        <v>253</v>
      </c>
      <c r="C124" s="17">
        <v>165</v>
      </c>
      <c r="D124" s="17"/>
      <c r="E124" s="17">
        <v>600</v>
      </c>
      <c r="F124" s="17">
        <v>1</v>
      </c>
      <c r="G124" s="17">
        <f t="shared" si="19"/>
        <v>600</v>
      </c>
      <c r="H124" s="17"/>
      <c r="I124" s="17">
        <f t="shared" si="20"/>
        <v>600</v>
      </c>
      <c r="J124" s="18"/>
      <c r="K124" s="20" t="str">
        <f>CONCATENATE(Table2[[#This Row],[Specs]],Table2[[#This Row],[Width]],Table2[[#This Row],[Slitting]])</f>
        <v>y ユポ80 MDN 8GB165</v>
      </c>
    </row>
    <row r="125" spans="1:11">
      <c r="A125" s="15" t="s">
        <v>305</v>
      </c>
      <c r="B125" s="16" t="s">
        <v>253</v>
      </c>
      <c r="C125" s="17">
        <v>140</v>
      </c>
      <c r="D125" s="17"/>
      <c r="E125" s="17">
        <v>600</v>
      </c>
      <c r="F125" s="17">
        <v>1</v>
      </c>
      <c r="G125" s="17">
        <f t="shared" si="19"/>
        <v>600</v>
      </c>
      <c r="H125" s="17"/>
      <c r="I125" s="17">
        <f t="shared" si="20"/>
        <v>600</v>
      </c>
      <c r="J125" s="18"/>
      <c r="K125" s="20" t="str">
        <f>CONCATENATE(Table2[[#This Row],[Specs]],Table2[[#This Row],[Width]],Table2[[#This Row],[Slitting]])</f>
        <v>y ユポ80 MDN 8GB140</v>
      </c>
    </row>
    <row r="126" spans="1:11">
      <c r="A126" s="15" t="s">
        <v>306</v>
      </c>
      <c r="B126" s="18" t="s">
        <v>12</v>
      </c>
      <c r="C126" s="17">
        <v>140</v>
      </c>
      <c r="D126" s="17"/>
      <c r="E126" s="17">
        <v>500</v>
      </c>
      <c r="F126" s="17">
        <v>1</v>
      </c>
      <c r="G126" s="17">
        <f t="shared" si="19"/>
        <v>500</v>
      </c>
      <c r="H126" s="17"/>
      <c r="I126" s="17">
        <f t="shared" si="20"/>
        <v>500</v>
      </c>
      <c r="J126" s="18"/>
      <c r="K126" s="20" t="str">
        <f>CONCATENATE(Table2[[#This Row],[Specs]],Table2[[#This Row],[Width]],Table2[[#This Row],[Slitting]])</f>
        <v>Nキャスト&lt;73&gt;ME80E140</v>
      </c>
    </row>
    <row r="127" spans="1:11">
      <c r="A127" s="15" t="s">
        <v>308</v>
      </c>
      <c r="B127" s="16" t="s">
        <v>253</v>
      </c>
      <c r="C127" s="17">
        <v>155</v>
      </c>
      <c r="D127" s="17"/>
      <c r="E127" s="17">
        <v>600</v>
      </c>
      <c r="F127" s="17">
        <v>1</v>
      </c>
      <c r="G127" s="17">
        <f t="shared" si="19"/>
        <v>600</v>
      </c>
      <c r="H127" s="17"/>
      <c r="I127" s="17">
        <f t="shared" si="20"/>
        <v>600</v>
      </c>
      <c r="J127" s="18"/>
      <c r="K127" s="20" t="str">
        <f>CONCATENATE(Table2[[#This Row],[Specs]],Table2[[#This Row],[Width]],Table2[[#This Row],[Slitting]])</f>
        <v>y ユポ80 MDN 8GB155</v>
      </c>
    </row>
    <row r="128" spans="1:11">
      <c r="A128" s="15"/>
      <c r="B128" s="16"/>
      <c r="C128" s="17"/>
      <c r="D128" s="17"/>
      <c r="E128" s="17"/>
      <c r="F128" s="17"/>
      <c r="G128" s="17">
        <f>F128*E128</f>
        <v>0</v>
      </c>
      <c r="H128" s="17"/>
      <c r="I128" s="17">
        <f>G128-H128</f>
        <v>0</v>
      </c>
      <c r="J128" s="18"/>
      <c r="K128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14" activePane="bottomLeft" state="frozen"/>
      <selection pane="bottomLeft" activeCell="D18" sqref="D18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0976562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 t="s">
        <v>307</v>
      </c>
      <c r="D2" s="11" t="s">
        <v>203</v>
      </c>
      <c r="F2" s="32" t="s">
        <v>255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44173.693726851852</v>
      </c>
      <c r="G3" s="22"/>
      <c r="H3" s="22"/>
      <c r="I3" s="14"/>
    </row>
    <row r="4" spans="1:9" ht="8" hidden="1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 hidden="1">
      <c r="A5" s="22" t="s">
        <v>16</v>
      </c>
      <c r="B5" s="22" t="s">
        <v>17</v>
      </c>
      <c r="C5" s="22" t="s">
        <v>192</v>
      </c>
      <c r="D5" s="22" t="s">
        <v>18</v>
      </c>
      <c r="E5" s="22" t="s">
        <v>20</v>
      </c>
      <c r="F5" s="22" t="s">
        <v>19</v>
      </c>
      <c r="G5" s="22" t="s">
        <v>195</v>
      </c>
      <c r="H5" s="22" t="s">
        <v>202</v>
      </c>
      <c r="I5" s="14"/>
    </row>
    <row r="6" spans="1:9" ht="20" hidden="1">
      <c r="A6" s="22" t="s">
        <v>22</v>
      </c>
      <c r="B6" s="22"/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 hidden="1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 hidden="1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 hidden="1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 hidden="1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 hidden="1">
      <c r="A11" s="24">
        <v>7</v>
      </c>
      <c r="B11" s="22" t="s">
        <v>22</v>
      </c>
      <c r="C11" s="22">
        <v>391</v>
      </c>
      <c r="D11" s="22" t="s">
        <v>289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 DIC2632</v>
      </c>
    </row>
    <row r="12" spans="1:9" ht="20">
      <c r="A12" s="24">
        <v>8</v>
      </c>
      <c r="B12" s="22" t="s">
        <v>22</v>
      </c>
      <c r="C12" s="22">
        <v>371</v>
      </c>
      <c r="D12" s="22" t="s">
        <v>194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28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29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30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31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 hidden="1">
      <c r="A17" s="24">
        <v>13</v>
      </c>
      <c r="B17" s="22" t="s">
        <v>22</v>
      </c>
      <c r="C17" s="22">
        <v>381</v>
      </c>
      <c r="D17" s="22" t="s">
        <v>32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33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34</v>
      </c>
      <c r="E19" s="22"/>
      <c r="F19" s="22" t="s">
        <v>57</v>
      </c>
      <c r="G19" s="22"/>
      <c r="H19" s="22" t="str">
        <f>CONCATENATE(Table1[[#This Row],[Order Code]],Table1[[#This Row],[NAME]])</f>
        <v>361D49 ピンク</v>
      </c>
    </row>
    <row r="20" spans="1:8" ht="20" hidden="1">
      <c r="A20" s="24">
        <v>16</v>
      </c>
      <c r="B20" s="22" t="s">
        <v>22</v>
      </c>
      <c r="C20" s="22">
        <v>341</v>
      </c>
      <c r="D20" s="22" t="s">
        <v>35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36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37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 hidden="1">
      <c r="A23" s="24">
        <v>19</v>
      </c>
      <c r="B23" s="22" t="s">
        <v>22</v>
      </c>
      <c r="C23" s="22">
        <v>341</v>
      </c>
      <c r="D23" s="22" t="s">
        <v>35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 hidden="1">
      <c r="A24" s="24">
        <v>20</v>
      </c>
      <c r="B24" s="22" t="s">
        <v>22</v>
      </c>
      <c r="C24" s="22">
        <v>331</v>
      </c>
      <c r="D24" s="22" t="s">
        <v>38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 hidden="1">
      <c r="A25" s="24">
        <v>21</v>
      </c>
      <c r="B25" s="22" t="s">
        <v>22</v>
      </c>
      <c r="C25" s="22">
        <v>331</v>
      </c>
      <c r="D25" s="22" t="s">
        <v>39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 hidden="1">
      <c r="A26" s="24">
        <v>22</v>
      </c>
      <c r="B26" s="22" t="s">
        <v>22</v>
      </c>
      <c r="C26" s="22">
        <v>331</v>
      </c>
      <c r="D26" s="22" t="s">
        <v>40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 hidden="1">
      <c r="A27" s="24">
        <v>23</v>
      </c>
      <c r="B27" s="22" t="s">
        <v>22</v>
      </c>
      <c r="C27" s="22">
        <v>321</v>
      </c>
      <c r="D27" s="22" t="s">
        <v>41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 hidden="1">
      <c r="A28" s="24">
        <v>24</v>
      </c>
      <c r="B28" s="22" t="s">
        <v>22</v>
      </c>
      <c r="C28" s="22">
        <v>321</v>
      </c>
      <c r="D28" s="22" t="s">
        <v>42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 hidden="1">
      <c r="A29" s="24">
        <v>25</v>
      </c>
      <c r="B29" s="22" t="s">
        <v>22</v>
      </c>
      <c r="C29" s="22">
        <v>321</v>
      </c>
      <c r="D29" s="22" t="s">
        <v>43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 hidden="1">
      <c r="A30" s="24">
        <v>26</v>
      </c>
      <c r="B30" s="22" t="s">
        <v>22</v>
      </c>
      <c r="C30" s="22">
        <v>311</v>
      </c>
      <c r="D30" s="22" t="s">
        <v>264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 hidden="1">
      <c r="A31" s="24">
        <v>27</v>
      </c>
      <c r="B31" s="22" t="s">
        <v>22</v>
      </c>
      <c r="C31" s="22">
        <v>311</v>
      </c>
      <c r="D31" s="22" t="s">
        <v>45</v>
      </c>
      <c r="E31" s="22"/>
      <c r="F31" s="25">
        <v>43837</v>
      </c>
      <c r="G31" s="22" t="s">
        <v>46</v>
      </c>
      <c r="H31" s="22" t="str">
        <f>CONCATENATE(Table1[[#This Row],[Order Code]],Table1[[#This Row],[NAME]])</f>
        <v>311ソイレスUN オレンジ</v>
      </c>
    </row>
    <row r="32" spans="1:8" ht="20" hidden="1">
      <c r="A32" s="24">
        <v>28</v>
      </c>
      <c r="B32" s="22" t="s">
        <v>22</v>
      </c>
      <c r="C32" s="22">
        <v>311</v>
      </c>
      <c r="D32" s="22" t="s">
        <v>47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 hidden="1">
      <c r="A33" s="24">
        <v>29</v>
      </c>
      <c r="B33" s="22" t="s">
        <v>22</v>
      </c>
      <c r="C33" s="22">
        <v>301</v>
      </c>
      <c r="D33" s="22" t="s">
        <v>48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 hidden="1">
      <c r="A34" s="24">
        <v>30</v>
      </c>
      <c r="B34" s="22" t="s">
        <v>22</v>
      </c>
      <c r="C34" s="22">
        <v>302</v>
      </c>
      <c r="D34" s="22" t="s">
        <v>49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 hidden="1">
      <c r="A35" s="24">
        <v>31</v>
      </c>
      <c r="B35" s="22" t="s">
        <v>22</v>
      </c>
      <c r="C35" s="22">
        <v>301</v>
      </c>
      <c r="D35" s="22" t="s">
        <v>50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 hidden="1">
      <c r="A36" s="24">
        <v>33</v>
      </c>
      <c r="B36" s="22" t="s">
        <v>51</v>
      </c>
      <c r="C36" s="22">
        <v>291</v>
      </c>
      <c r="D36" s="22" t="s">
        <v>52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 hidden="1">
      <c r="A37" s="24">
        <v>34</v>
      </c>
      <c r="B37" s="22" t="s">
        <v>51</v>
      </c>
      <c r="C37" s="22">
        <v>121</v>
      </c>
      <c r="D37" s="22" t="s">
        <v>52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 hidden="1">
      <c r="A38" s="24">
        <v>35</v>
      </c>
      <c r="B38" s="22" t="s">
        <v>51</v>
      </c>
      <c r="C38" s="22">
        <v>171</v>
      </c>
      <c r="D38" s="22" t="s">
        <v>52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 hidden="1">
      <c r="A39" s="24">
        <v>36</v>
      </c>
      <c r="B39" s="22" t="s">
        <v>51</v>
      </c>
      <c r="C39" s="22">
        <v>161</v>
      </c>
      <c r="D39" s="22" t="s">
        <v>53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 hidden="1">
      <c r="A40" s="24">
        <v>37</v>
      </c>
      <c r="B40" s="22" t="s">
        <v>51</v>
      </c>
      <c r="C40" s="22">
        <v>171</v>
      </c>
      <c r="D40" s="22" t="s">
        <v>53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 hidden="1">
      <c r="A41" s="24">
        <v>38</v>
      </c>
      <c r="B41" s="22" t="s">
        <v>51</v>
      </c>
      <c r="C41" s="22">
        <v>181</v>
      </c>
      <c r="D41" s="22" t="s">
        <v>54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 hidden="1">
      <c r="A42" s="24">
        <v>39</v>
      </c>
      <c r="B42" s="22" t="s">
        <v>22</v>
      </c>
      <c r="C42" s="22">
        <v>251</v>
      </c>
      <c r="D42" s="22" t="s">
        <v>55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 hidden="1">
      <c r="A43" s="24">
        <v>40</v>
      </c>
      <c r="B43" s="22" t="s">
        <v>22</v>
      </c>
      <c r="C43" s="22">
        <v>281</v>
      </c>
      <c r="D43" s="22" t="s">
        <v>56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 hidden="1">
      <c r="A44" s="24">
        <v>41</v>
      </c>
      <c r="B44" s="22" t="s">
        <v>22</v>
      </c>
      <c r="C44" s="22">
        <v>281</v>
      </c>
      <c r="D44" s="22" t="s">
        <v>55</v>
      </c>
      <c r="E44" s="22">
        <v>2</v>
      </c>
      <c r="F44" s="22" t="s">
        <v>57</v>
      </c>
      <c r="G44" s="22"/>
      <c r="H44" s="22" t="str">
        <f>CONCATENATE(Table1[[#This Row],[Order Code]],Table1[[#This Row],[NAME]])</f>
        <v>281D-181 青</v>
      </c>
    </row>
    <row r="45" spans="1:8" ht="20" hidden="1">
      <c r="A45" s="24">
        <v>42</v>
      </c>
      <c r="B45" s="22" t="s">
        <v>22</v>
      </c>
      <c r="C45" s="22">
        <v>271</v>
      </c>
      <c r="D45" s="22" t="s">
        <v>58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 hidden="1">
      <c r="A46" s="24">
        <v>43</v>
      </c>
      <c r="B46" s="22" t="s">
        <v>22</v>
      </c>
      <c r="C46" s="22">
        <v>271</v>
      </c>
      <c r="D46" s="22" t="s">
        <v>59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 hidden="1">
      <c r="A47" s="24">
        <v>44</v>
      </c>
      <c r="B47" s="22" t="s">
        <v>22</v>
      </c>
      <c r="C47" s="22">
        <v>271</v>
      </c>
      <c r="D47" s="22" t="s">
        <v>60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 hidden="1">
      <c r="A48" s="24">
        <v>45</v>
      </c>
      <c r="B48" s="22" t="s">
        <v>22</v>
      </c>
      <c r="C48" s="22">
        <v>261</v>
      </c>
      <c r="D48" s="22" t="s">
        <v>61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 hidden="1">
      <c r="A49" s="24">
        <v>46</v>
      </c>
      <c r="B49" s="22" t="s">
        <v>22</v>
      </c>
      <c r="C49" s="22">
        <v>261</v>
      </c>
      <c r="D49" s="22" t="s">
        <v>62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 hidden="1">
      <c r="A50" s="24">
        <v>47</v>
      </c>
      <c r="B50" s="22" t="s">
        <v>22</v>
      </c>
      <c r="C50" s="22">
        <v>261</v>
      </c>
      <c r="D50" s="22" t="s">
        <v>63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 hidden="1">
      <c r="A51" s="24">
        <v>48</v>
      </c>
      <c r="B51" s="22" t="s">
        <v>22</v>
      </c>
      <c r="C51" s="22">
        <v>251</v>
      </c>
      <c r="D51" s="22" t="s">
        <v>64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 hidden="1">
      <c r="A52" s="24">
        <v>49</v>
      </c>
      <c r="B52" s="22" t="s">
        <v>22</v>
      </c>
      <c r="C52" s="22">
        <v>251</v>
      </c>
      <c r="D52" s="22" t="s">
        <v>61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 hidden="1">
      <c r="A53" s="24">
        <v>50</v>
      </c>
      <c r="B53" s="22" t="s">
        <v>22</v>
      </c>
      <c r="C53" s="22">
        <v>222</v>
      </c>
      <c r="D53" s="22" t="s">
        <v>65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 hidden="1">
      <c r="A54" s="24">
        <v>51</v>
      </c>
      <c r="B54" s="22" t="s">
        <v>22</v>
      </c>
      <c r="C54" s="22">
        <v>241</v>
      </c>
      <c r="D54" s="22" t="s">
        <v>66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 hidden="1">
      <c r="A55" s="24">
        <v>52</v>
      </c>
      <c r="B55" s="22" t="s">
        <v>22</v>
      </c>
      <c r="C55" s="22">
        <v>241</v>
      </c>
      <c r="D55" s="22" t="s">
        <v>67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 hidden="1">
      <c r="A56" s="24">
        <v>53</v>
      </c>
      <c r="B56" s="22" t="s">
        <v>22</v>
      </c>
      <c r="C56" s="22">
        <v>241</v>
      </c>
      <c r="D56" s="22" t="s">
        <v>68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 hidden="1">
      <c r="A57" s="24">
        <v>54</v>
      </c>
      <c r="B57" s="22" t="s">
        <v>22</v>
      </c>
      <c r="C57" s="22">
        <v>231</v>
      </c>
      <c r="D57" s="22" t="s">
        <v>69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 hidden="1">
      <c r="A58" s="24">
        <v>55</v>
      </c>
      <c r="B58" s="22" t="s">
        <v>22</v>
      </c>
      <c r="C58" s="22">
        <v>231</v>
      </c>
      <c r="D58" s="22" t="s">
        <v>69</v>
      </c>
      <c r="E58" s="22">
        <v>5</v>
      </c>
      <c r="F58" s="22" t="s">
        <v>57</v>
      </c>
      <c r="G58" s="22"/>
      <c r="H58" s="22" t="str">
        <f>CONCATENATE(Table1[[#This Row],[Order Code]],Table1[[#This Row],[NAME]])</f>
        <v>231D-140 青</v>
      </c>
    </row>
    <row r="59" spans="1:8" ht="20" hidden="1">
      <c r="A59" s="24">
        <v>56</v>
      </c>
      <c r="B59" s="22" t="s">
        <v>22</v>
      </c>
      <c r="C59" s="22">
        <v>231</v>
      </c>
      <c r="D59" s="22" t="s">
        <v>70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 hidden="1">
      <c r="A60" s="24">
        <v>57</v>
      </c>
      <c r="B60" s="22" t="s">
        <v>22</v>
      </c>
      <c r="C60" s="22">
        <v>201</v>
      </c>
      <c r="D60" s="22" t="s">
        <v>237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 hidden="1">
      <c r="A61" s="24">
        <v>58</v>
      </c>
      <c r="B61" s="22" t="s">
        <v>22</v>
      </c>
      <c r="C61" s="26">
        <v>221</v>
      </c>
      <c r="D61" s="22" t="s">
        <v>72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 hidden="1">
      <c r="A62" s="24">
        <v>59</v>
      </c>
      <c r="B62" s="22" t="s">
        <v>22</v>
      </c>
      <c r="C62" s="26">
        <v>221</v>
      </c>
      <c r="D62" s="22" t="s">
        <v>73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 hidden="1">
      <c r="A63" s="24">
        <v>60</v>
      </c>
      <c r="B63" s="22" t="s">
        <v>22</v>
      </c>
      <c r="C63" s="26">
        <v>222</v>
      </c>
      <c r="D63" s="22" t="s">
        <v>74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 hidden="1">
      <c r="A64" s="24">
        <v>61</v>
      </c>
      <c r="B64" s="22" t="s">
        <v>22</v>
      </c>
      <c r="C64" s="26">
        <v>211</v>
      </c>
      <c r="D64" s="22" t="s">
        <v>75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 hidden="1">
      <c r="A65" s="24">
        <v>62</v>
      </c>
      <c r="B65" s="22" t="s">
        <v>22</v>
      </c>
      <c r="C65" s="26">
        <v>211</v>
      </c>
      <c r="D65" s="22" t="s">
        <v>76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 hidden="1">
      <c r="A66" s="24">
        <v>63</v>
      </c>
      <c r="B66" s="22" t="s">
        <v>22</v>
      </c>
      <c r="C66" s="22">
        <v>221</v>
      </c>
      <c r="D66" s="22" t="s">
        <v>77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 hidden="1">
      <c r="A67" s="24">
        <v>64</v>
      </c>
      <c r="B67" s="22" t="s">
        <v>22</v>
      </c>
      <c r="C67" s="26">
        <v>201</v>
      </c>
      <c r="D67" s="22" t="s">
        <v>78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 hidden="1">
      <c r="A68" s="24">
        <v>65</v>
      </c>
      <c r="B68" s="22" t="s">
        <v>22</v>
      </c>
      <c r="C68" s="26">
        <v>201</v>
      </c>
      <c r="D68" s="22" t="s">
        <v>79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 hidden="1">
      <c r="A69" s="24">
        <v>67</v>
      </c>
      <c r="B69" s="22" t="s">
        <v>22</v>
      </c>
      <c r="C69" s="22">
        <v>1101</v>
      </c>
      <c r="D69" s="22" t="s">
        <v>80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 hidden="1">
      <c r="A70" s="24">
        <v>68</v>
      </c>
      <c r="B70" s="22" t="s">
        <v>22</v>
      </c>
      <c r="C70" s="22">
        <v>1101</v>
      </c>
      <c r="D70" s="22" t="s">
        <v>81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 hidden="1">
      <c r="A71" s="24">
        <v>69</v>
      </c>
      <c r="B71" s="22" t="s">
        <v>22</v>
      </c>
      <c r="C71" s="22">
        <v>1101</v>
      </c>
      <c r="D71" s="22" t="s">
        <v>82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 hidden="1">
      <c r="A72" s="24">
        <v>70</v>
      </c>
      <c r="B72" s="22" t="s">
        <v>22</v>
      </c>
      <c r="C72" s="22">
        <v>231</v>
      </c>
      <c r="D72" s="22" t="s">
        <v>80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28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83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 hidden="1">
      <c r="A75" s="24">
        <v>73</v>
      </c>
      <c r="B75" s="22" t="s">
        <v>22</v>
      </c>
      <c r="C75" s="22">
        <v>191</v>
      </c>
      <c r="D75" s="53" t="s">
        <v>84</v>
      </c>
      <c r="E75" s="22">
        <v>0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85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 hidden="1">
      <c r="A77" s="24">
        <v>75</v>
      </c>
      <c r="B77" s="22" t="s">
        <v>22</v>
      </c>
      <c r="C77" s="22">
        <v>171</v>
      </c>
      <c r="D77" s="22" t="s">
        <v>44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 hidden="1">
      <c r="A78" s="24">
        <v>76</v>
      </c>
      <c r="B78" s="22" t="s">
        <v>22</v>
      </c>
      <c r="C78" s="22">
        <v>171</v>
      </c>
      <c r="D78" s="22" t="s">
        <v>86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 hidden="1">
      <c r="A79" s="24">
        <v>77</v>
      </c>
      <c r="B79" s="22" t="s">
        <v>22</v>
      </c>
      <c r="C79" s="22">
        <v>161</v>
      </c>
      <c r="D79" s="22" t="s">
        <v>87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 hidden="1">
      <c r="A80" s="24">
        <v>78</v>
      </c>
      <c r="B80" s="22" t="s">
        <v>22</v>
      </c>
      <c r="C80" s="22">
        <v>161</v>
      </c>
      <c r="D80" s="22" t="s">
        <v>88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 hidden="1">
      <c r="A81" s="24">
        <v>79</v>
      </c>
      <c r="B81" s="22" t="s">
        <v>22</v>
      </c>
      <c r="C81" s="22">
        <v>151</v>
      </c>
      <c r="D81" s="22" t="s">
        <v>89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 hidden="1">
      <c r="A82" s="24">
        <v>80</v>
      </c>
      <c r="B82" s="22" t="s">
        <v>22</v>
      </c>
      <c r="C82" s="22">
        <v>151</v>
      </c>
      <c r="D82" s="22" t="s">
        <v>90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 hidden="1">
      <c r="A83" s="24">
        <v>81</v>
      </c>
      <c r="B83" s="22" t="s">
        <v>22</v>
      </c>
      <c r="C83" s="22">
        <v>151</v>
      </c>
      <c r="D83" s="22" t="s">
        <v>90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 hidden="1">
      <c r="A84" s="24">
        <v>82</v>
      </c>
      <c r="B84" s="22" t="s">
        <v>22</v>
      </c>
      <c r="C84" s="22">
        <v>141</v>
      </c>
      <c r="D84" s="22" t="s">
        <v>91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 hidden="1">
      <c r="A85" s="24">
        <v>83</v>
      </c>
      <c r="B85" s="22" t="s">
        <v>22</v>
      </c>
      <c r="C85" s="22">
        <v>141</v>
      </c>
      <c r="D85" s="22" t="s">
        <v>92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 hidden="1">
      <c r="A86" s="24">
        <v>84</v>
      </c>
      <c r="B86" s="22" t="s">
        <v>22</v>
      </c>
      <c r="C86" s="22">
        <v>141</v>
      </c>
      <c r="D86" s="22" t="s">
        <v>93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 hidden="1">
      <c r="A87" s="24">
        <v>85</v>
      </c>
      <c r="B87" s="22" t="s">
        <v>22</v>
      </c>
      <c r="C87" s="22">
        <v>222</v>
      </c>
      <c r="D87" s="22" t="s">
        <v>69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 hidden="1">
      <c r="A88" s="24">
        <v>86</v>
      </c>
      <c r="B88" s="22" t="s">
        <v>22</v>
      </c>
      <c r="C88" s="22">
        <v>131</v>
      </c>
      <c r="D88" s="22" t="s">
        <v>65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 hidden="1">
      <c r="A89" s="24">
        <v>87</v>
      </c>
      <c r="B89" s="22" t="s">
        <v>22</v>
      </c>
      <c r="C89" s="22">
        <v>121</v>
      </c>
      <c r="D89" s="22" t="s">
        <v>67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 hidden="1">
      <c r="A90" s="24">
        <v>88</v>
      </c>
      <c r="B90" s="22" t="s">
        <v>22</v>
      </c>
      <c r="C90" s="22">
        <v>121</v>
      </c>
      <c r="D90" s="22" t="s">
        <v>67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 hidden="1">
      <c r="A91" s="24">
        <v>89</v>
      </c>
      <c r="B91" s="22" t="s">
        <v>22</v>
      </c>
      <c r="C91" s="22">
        <v>111</v>
      </c>
      <c r="D91" s="22" t="s">
        <v>94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 hidden="1">
      <c r="A92" s="24">
        <v>90</v>
      </c>
      <c r="B92" s="22" t="s">
        <v>22</v>
      </c>
      <c r="C92" s="22">
        <v>111</v>
      </c>
      <c r="D92" s="22" t="s">
        <v>94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 hidden="1">
      <c r="A93" s="24">
        <v>91</v>
      </c>
      <c r="B93" s="22" t="s">
        <v>22</v>
      </c>
      <c r="C93" s="22">
        <v>111</v>
      </c>
      <c r="D93" s="22" t="s">
        <v>95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 hidden="1">
      <c r="A94" s="24">
        <v>92</v>
      </c>
      <c r="B94" s="22" t="s">
        <v>22</v>
      </c>
      <c r="C94" s="22">
        <v>242</v>
      </c>
      <c r="D94" s="22" t="s">
        <v>96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 hidden="1">
      <c r="A95" s="24">
        <v>93</v>
      </c>
      <c r="B95" s="22" t="s">
        <v>22</v>
      </c>
      <c r="C95" s="22">
        <v>101</v>
      </c>
      <c r="D95" s="22" t="s">
        <v>97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 hidden="1">
      <c r="A96" s="24">
        <v>94</v>
      </c>
      <c r="B96" s="22" t="s">
        <v>22</v>
      </c>
      <c r="C96" s="22">
        <v>101</v>
      </c>
      <c r="D96" s="22" t="s">
        <v>98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 hidden="1">
      <c r="A97" s="24">
        <v>95</v>
      </c>
      <c r="B97" s="22" t="s">
        <v>22</v>
      </c>
      <c r="C97" s="22">
        <v>101</v>
      </c>
      <c r="D97" s="22" t="s">
        <v>99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 hidden="1">
      <c r="A98" s="24">
        <v>97</v>
      </c>
      <c r="B98" s="22" t="s">
        <v>22</v>
      </c>
      <c r="C98" s="22">
        <v>303</v>
      </c>
      <c r="D98" s="22" t="s">
        <v>100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 hidden="1">
      <c r="A99" s="24">
        <v>98</v>
      </c>
      <c r="B99" s="22" t="s">
        <v>22</v>
      </c>
      <c r="C99" s="22">
        <v>303</v>
      </c>
      <c r="D99" s="22" t="s">
        <v>100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 hidden="1">
      <c r="A100" s="24">
        <v>99</v>
      </c>
      <c r="B100" s="22" t="s">
        <v>22</v>
      </c>
      <c r="C100" s="22">
        <v>301</v>
      </c>
      <c r="D100" s="22" t="s">
        <v>49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 hidden="1">
      <c r="A101" s="24">
        <v>100</v>
      </c>
      <c r="B101" s="22" t="s">
        <v>22</v>
      </c>
      <c r="C101" s="22">
        <v>302</v>
      </c>
      <c r="D101" s="22" t="s">
        <v>82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 hidden="1">
      <c r="A102" s="24">
        <v>101</v>
      </c>
      <c r="B102" s="22" t="s">
        <v>22</v>
      </c>
      <c r="C102" s="22">
        <v>203</v>
      </c>
      <c r="D102" s="22" t="s">
        <v>101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 hidden="1">
      <c r="A103" s="24">
        <v>102</v>
      </c>
      <c r="B103" s="22" t="s">
        <v>22</v>
      </c>
      <c r="C103" s="22">
        <v>203</v>
      </c>
      <c r="D103" s="22" t="s">
        <v>102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 hidden="1">
      <c r="A104" s="24">
        <v>103</v>
      </c>
      <c r="B104" s="22" t="s">
        <v>22</v>
      </c>
      <c r="C104" s="22">
        <v>203</v>
      </c>
      <c r="D104" s="22" t="s">
        <v>103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 hidden="1">
      <c r="A105" s="24">
        <v>104</v>
      </c>
      <c r="B105" s="22" t="s">
        <v>22</v>
      </c>
      <c r="C105" s="22">
        <v>202</v>
      </c>
      <c r="D105" s="22" t="s">
        <v>104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 hidden="1">
      <c r="A106" s="24">
        <v>105</v>
      </c>
      <c r="B106" s="22" t="s">
        <v>22</v>
      </c>
      <c r="C106" s="22">
        <v>202</v>
      </c>
      <c r="D106" s="22" t="s">
        <v>105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 hidden="1">
      <c r="A107" s="24">
        <v>106</v>
      </c>
      <c r="B107" s="22" t="s">
        <v>22</v>
      </c>
      <c r="C107" s="22">
        <v>213</v>
      </c>
      <c r="D107" s="22" t="s">
        <v>106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 hidden="1">
      <c r="A108" s="24">
        <v>107</v>
      </c>
      <c r="B108" s="22" t="s">
        <v>22</v>
      </c>
      <c r="C108" s="22">
        <v>103</v>
      </c>
      <c r="D108" s="22" t="s">
        <v>107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 hidden="1">
      <c r="A109" s="24">
        <v>108</v>
      </c>
      <c r="B109" s="22" t="s">
        <v>22</v>
      </c>
      <c r="C109" s="22">
        <v>103</v>
      </c>
      <c r="D109" s="22" t="s">
        <v>108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 hidden="1">
      <c r="A110" s="24">
        <v>109</v>
      </c>
      <c r="B110" s="22" t="s">
        <v>22</v>
      </c>
      <c r="C110" s="22">
        <v>103</v>
      </c>
      <c r="D110" s="22" t="s">
        <v>108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 hidden="1">
      <c r="A111" s="24">
        <v>110</v>
      </c>
      <c r="B111" s="22" t="s">
        <v>22</v>
      </c>
      <c r="C111" s="22">
        <v>103</v>
      </c>
      <c r="D111" s="22" t="s">
        <v>93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 hidden="1">
      <c r="A112" s="24">
        <v>111</v>
      </c>
      <c r="B112" s="22" t="s">
        <v>22</v>
      </c>
      <c r="C112" s="22">
        <v>153</v>
      </c>
      <c r="D112" s="22" t="s">
        <v>109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 hidden="1">
      <c r="A113" s="24">
        <v>112</v>
      </c>
      <c r="B113" s="22" t="s">
        <v>22</v>
      </c>
      <c r="C113" s="22">
        <v>153</v>
      </c>
      <c r="D113" s="22" t="s">
        <v>109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 hidden="1">
      <c r="A114" s="24">
        <v>113</v>
      </c>
      <c r="B114" s="22" t="s">
        <v>22</v>
      </c>
      <c r="C114" s="22">
        <v>153</v>
      </c>
      <c r="D114" s="22" t="s">
        <v>109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 hidden="1">
      <c r="A115" s="24">
        <v>114</v>
      </c>
      <c r="B115" s="22" t="s">
        <v>22</v>
      </c>
      <c r="C115" s="22">
        <v>153</v>
      </c>
      <c r="D115" s="22" t="s">
        <v>109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 hidden="1">
      <c r="A116" s="24">
        <v>116</v>
      </c>
      <c r="B116" s="22" t="s">
        <v>22</v>
      </c>
      <c r="C116" s="22">
        <v>303</v>
      </c>
      <c r="D116" s="22" t="s">
        <v>110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 hidden="1">
      <c r="A117" s="24">
        <v>117</v>
      </c>
      <c r="B117" s="22" t="s">
        <v>22</v>
      </c>
      <c r="C117" s="22">
        <v>313</v>
      </c>
      <c r="D117" s="22" t="s">
        <v>111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 hidden="1">
      <c r="A118" s="24">
        <v>118</v>
      </c>
      <c r="B118" s="22" t="s">
        <v>22</v>
      </c>
      <c r="C118" s="22">
        <v>232</v>
      </c>
      <c r="D118" s="22" t="s">
        <v>112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 hidden="1">
      <c r="A119" s="24">
        <v>119</v>
      </c>
      <c r="B119" s="22" t="s">
        <v>22</v>
      </c>
      <c r="C119" s="22">
        <v>323</v>
      </c>
      <c r="D119" s="22" t="s">
        <v>112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 hidden="1">
      <c r="A120" s="24">
        <v>120</v>
      </c>
      <c r="B120" s="22" t="s">
        <v>22</v>
      </c>
      <c r="C120" s="22">
        <v>293</v>
      </c>
      <c r="D120" s="22" t="s">
        <v>113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 hidden="1">
      <c r="A121" s="24">
        <v>121</v>
      </c>
      <c r="B121" s="22" t="s">
        <v>22</v>
      </c>
      <c r="C121" s="22">
        <v>343</v>
      </c>
      <c r="D121" s="22" t="s">
        <v>114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 hidden="1">
      <c r="A122" s="24">
        <v>122</v>
      </c>
      <c r="B122" s="22" t="s">
        <v>22</v>
      </c>
      <c r="C122" s="22">
        <v>343</v>
      </c>
      <c r="D122" s="22" t="s">
        <v>115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 hidden="1">
      <c r="A123" s="24">
        <v>123</v>
      </c>
      <c r="B123" s="22" t="s">
        <v>22</v>
      </c>
      <c r="C123" s="22">
        <v>283</v>
      </c>
      <c r="D123" s="22" t="s">
        <v>116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 hidden="1">
      <c r="A124" s="24">
        <v>124</v>
      </c>
      <c r="B124" s="22" t="s">
        <v>22</v>
      </c>
      <c r="C124" s="22">
        <v>333</v>
      </c>
      <c r="D124" s="22" t="s">
        <v>117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 hidden="1">
      <c r="A125" s="24">
        <v>125</v>
      </c>
      <c r="B125" s="22" t="s">
        <v>22</v>
      </c>
      <c r="C125" s="22">
        <v>343</v>
      </c>
      <c r="D125" s="22" t="s">
        <v>118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 hidden="1">
      <c r="A126" s="24">
        <v>126</v>
      </c>
      <c r="B126" s="22" t="s">
        <v>22</v>
      </c>
      <c r="C126" s="22">
        <v>313</v>
      </c>
      <c r="D126" s="22" t="s">
        <v>248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 hidden="1">
      <c r="A127" s="24">
        <v>127</v>
      </c>
      <c r="B127" s="22" t="s">
        <v>22</v>
      </c>
      <c r="C127" s="22">
        <v>313</v>
      </c>
      <c r="D127" s="22" t="s">
        <v>119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 hidden="1">
      <c r="A128" s="24">
        <v>128</v>
      </c>
      <c r="B128" s="22" t="s">
        <v>22</v>
      </c>
      <c r="C128" s="22">
        <v>333</v>
      </c>
      <c r="D128" s="22" t="s">
        <v>120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 hidden="1">
      <c r="A129" s="24">
        <v>129</v>
      </c>
      <c r="B129" s="22" t="s">
        <v>22</v>
      </c>
      <c r="C129" s="22">
        <v>333</v>
      </c>
      <c r="D129" s="22" t="s">
        <v>121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122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122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122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123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29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 hidden="1">
      <c r="A135" s="24">
        <v>135</v>
      </c>
      <c r="B135" s="22" t="s">
        <v>22</v>
      </c>
      <c r="C135" s="22"/>
      <c r="D135" s="22" t="s">
        <v>124</v>
      </c>
      <c r="E135" s="22"/>
      <c r="F135" s="22" t="s">
        <v>125</v>
      </c>
      <c r="G135" s="22"/>
      <c r="H135" s="22" t="str">
        <f>CONCATENATE(Table1[[#This Row],[Order Code]],Table1[[#This Row],[NAME]])</f>
        <v>カイトコイン</v>
      </c>
    </row>
    <row r="136" spans="1:8" ht="20" hidden="1">
      <c r="A136" s="24">
        <v>136</v>
      </c>
      <c r="B136" s="22" t="s">
        <v>22</v>
      </c>
      <c r="C136" s="22"/>
      <c r="D136" s="22" t="s">
        <v>124</v>
      </c>
      <c r="E136" s="22"/>
      <c r="F136" s="22" t="s">
        <v>125</v>
      </c>
      <c r="G136" s="22"/>
      <c r="H136" s="22" t="str">
        <f>CONCATENATE(Table1[[#This Row],[Order Code]],Table1[[#This Row],[NAME]])</f>
        <v>カイトコイン</v>
      </c>
    </row>
    <row r="137" spans="1:8" ht="20" hidden="1">
      <c r="A137" s="24">
        <v>137</v>
      </c>
      <c r="B137" s="22" t="s">
        <v>22</v>
      </c>
      <c r="C137" s="22">
        <v>3103</v>
      </c>
      <c r="D137" s="22" t="s">
        <v>80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 hidden="1">
      <c r="A138" s="24">
        <v>138</v>
      </c>
      <c r="B138" s="22" t="s">
        <v>22</v>
      </c>
      <c r="C138" s="22">
        <v>3103</v>
      </c>
      <c r="D138" s="22" t="s">
        <v>80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 hidden="1">
      <c r="A139" s="24">
        <v>140</v>
      </c>
      <c r="B139" s="22" t="s">
        <v>22</v>
      </c>
      <c r="C139" s="22">
        <v>212</v>
      </c>
      <c r="D139" s="22" t="s">
        <v>126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 hidden="1">
      <c r="A140" s="24">
        <v>141</v>
      </c>
      <c r="B140" s="22" t="s">
        <v>22</v>
      </c>
      <c r="C140" s="22">
        <v>212</v>
      </c>
      <c r="D140" s="22" t="s">
        <v>127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 hidden="1">
      <c r="A141" s="24">
        <v>142</v>
      </c>
      <c r="B141" s="22" t="s">
        <v>22</v>
      </c>
      <c r="C141" s="22">
        <v>212</v>
      </c>
      <c r="D141" s="22" t="s">
        <v>243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 hidden="1">
      <c r="A142" s="24">
        <v>143</v>
      </c>
      <c r="B142" s="22" t="s">
        <v>22</v>
      </c>
      <c r="C142" s="22">
        <v>222</v>
      </c>
      <c r="D142" s="22" t="s">
        <v>55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 hidden="1">
      <c r="A143" s="24">
        <v>144</v>
      </c>
      <c r="B143" s="22" t="s">
        <v>22</v>
      </c>
      <c r="C143" s="22">
        <v>293</v>
      </c>
      <c r="D143" s="22" t="s">
        <v>128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 hidden="1">
      <c r="A144" s="24">
        <v>145</v>
      </c>
      <c r="B144" s="22" t="s">
        <v>22</v>
      </c>
      <c r="C144" s="22">
        <v>232</v>
      </c>
      <c r="D144" s="22" t="s">
        <v>129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 hidden="1">
      <c r="A145" s="24">
        <v>146</v>
      </c>
      <c r="B145" s="22" t="s">
        <v>22</v>
      </c>
      <c r="C145" s="22">
        <v>232</v>
      </c>
      <c r="D145" s="22" t="s">
        <v>130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 hidden="1">
      <c r="A146" s="24">
        <v>147</v>
      </c>
      <c r="B146" s="22" t="s">
        <v>22</v>
      </c>
      <c r="C146" s="22">
        <v>323</v>
      </c>
      <c r="D146" s="22" t="s">
        <v>131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 hidden="1">
      <c r="A147" s="24">
        <v>148</v>
      </c>
      <c r="B147" s="22" t="s">
        <v>22</v>
      </c>
      <c r="C147" s="22">
        <v>252</v>
      </c>
      <c r="D147" s="22" t="s">
        <v>132</v>
      </c>
      <c r="E147" s="22" t="s">
        <v>46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 hidden="1">
      <c r="A148" s="24">
        <v>149</v>
      </c>
      <c r="B148" s="22" t="s">
        <v>22</v>
      </c>
      <c r="C148" s="22">
        <v>242</v>
      </c>
      <c r="D148" s="22" t="s">
        <v>133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 hidden="1">
      <c r="A149" s="24">
        <v>150</v>
      </c>
      <c r="B149" s="22" t="s">
        <v>22</v>
      </c>
      <c r="C149" s="22">
        <v>242</v>
      </c>
      <c r="D149" s="22" t="s">
        <v>134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 hidden="1">
      <c r="A150" s="24">
        <v>151</v>
      </c>
      <c r="B150" s="22" t="s">
        <v>22</v>
      </c>
      <c r="C150" s="22">
        <v>252</v>
      </c>
      <c r="D150" s="22" t="s">
        <v>135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 hidden="1">
      <c r="A151" s="24">
        <v>152</v>
      </c>
      <c r="B151" s="22" t="s">
        <v>22</v>
      </c>
      <c r="C151" s="22">
        <v>252</v>
      </c>
      <c r="D151" s="22" t="s">
        <v>136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 hidden="1">
      <c r="A152" s="24">
        <v>153</v>
      </c>
      <c r="B152" s="22" t="s">
        <v>22</v>
      </c>
      <c r="C152" s="22">
        <v>262</v>
      </c>
      <c r="D152" s="22" t="s">
        <v>137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 hidden="1">
      <c r="A153" s="24">
        <v>154</v>
      </c>
      <c r="B153" s="22" t="s">
        <v>22</v>
      </c>
      <c r="C153" s="22">
        <v>262</v>
      </c>
      <c r="D153" s="22" t="s">
        <v>138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 hidden="1">
      <c r="A154" s="24">
        <v>155</v>
      </c>
      <c r="B154" s="22" t="s">
        <v>22</v>
      </c>
      <c r="C154" s="22">
        <v>262</v>
      </c>
      <c r="D154" s="22" t="s">
        <v>99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 hidden="1">
      <c r="A155" s="24">
        <v>156</v>
      </c>
      <c r="B155" s="22" t="s">
        <v>22</v>
      </c>
      <c r="C155" s="22">
        <v>272</v>
      </c>
      <c r="D155" s="22" t="s">
        <v>139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 hidden="1">
      <c r="A156" s="24">
        <v>157</v>
      </c>
      <c r="B156" s="22" t="s">
        <v>22</v>
      </c>
      <c r="C156" s="22">
        <v>272</v>
      </c>
      <c r="D156" s="22" t="s">
        <v>139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 hidden="1">
      <c r="A157" s="24">
        <v>158</v>
      </c>
      <c r="B157" s="22" t="s">
        <v>22</v>
      </c>
      <c r="C157" s="22">
        <v>272</v>
      </c>
      <c r="D157" s="22" t="s">
        <v>140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 hidden="1">
      <c r="A158" s="24">
        <v>159</v>
      </c>
      <c r="B158" s="22" t="s">
        <v>22</v>
      </c>
      <c r="C158" s="22">
        <v>282</v>
      </c>
      <c r="D158" s="22" t="s">
        <v>141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 hidden="1">
      <c r="A159" s="24">
        <v>160</v>
      </c>
      <c r="B159" s="22" t="s">
        <v>22</v>
      </c>
      <c r="C159" s="22">
        <v>282</v>
      </c>
      <c r="D159" s="22" t="s">
        <v>125</v>
      </c>
      <c r="E159" s="22"/>
      <c r="F159" s="22" t="s">
        <v>125</v>
      </c>
      <c r="G159" s="22"/>
      <c r="H159" s="22" t="str">
        <f>CONCATENATE(Table1[[#This Row],[Order Code]],Table1[[#This Row],[NAME]])</f>
        <v>282NA</v>
      </c>
    </row>
    <row r="160" spans="1:8" ht="20" hidden="1">
      <c r="A160" s="24">
        <v>161</v>
      </c>
      <c r="B160" s="22" t="s">
        <v>22</v>
      </c>
      <c r="C160" s="22">
        <v>292</v>
      </c>
      <c r="D160" s="22" t="s">
        <v>142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 hidden="1">
      <c r="A161" s="24">
        <v>162</v>
      </c>
      <c r="B161" s="22" t="s">
        <v>22</v>
      </c>
      <c r="C161" s="22">
        <v>292</v>
      </c>
      <c r="D161" s="22" t="s">
        <v>143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 hidden="1">
      <c r="A162" s="24">
        <v>163</v>
      </c>
      <c r="B162" s="22" t="s">
        <v>22</v>
      </c>
      <c r="C162" s="22">
        <v>2102</v>
      </c>
      <c r="D162" s="22" t="s">
        <v>144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 hidden="1">
      <c r="A163" s="24">
        <v>164</v>
      </c>
      <c r="B163" s="22" t="s">
        <v>22</v>
      </c>
      <c r="C163" s="22">
        <v>2102</v>
      </c>
      <c r="D163" s="22" t="s">
        <v>145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 hidden="1">
      <c r="A164" s="24">
        <v>166</v>
      </c>
      <c r="B164" s="22" t="s">
        <v>22</v>
      </c>
      <c r="C164" s="22">
        <v>113</v>
      </c>
      <c r="D164" s="22" t="s">
        <v>146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 hidden="1">
      <c r="A165" s="24">
        <v>167</v>
      </c>
      <c r="B165" s="22" t="s">
        <v>22</v>
      </c>
      <c r="C165" s="22">
        <v>113</v>
      </c>
      <c r="D165" s="22" t="s">
        <v>147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 hidden="1">
      <c r="A166" s="24">
        <v>168</v>
      </c>
      <c r="B166" s="22" t="s">
        <v>22</v>
      </c>
      <c r="C166" s="22">
        <v>113</v>
      </c>
      <c r="D166" s="22" t="s">
        <v>236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 hidden="1">
      <c r="A167" s="24">
        <v>169</v>
      </c>
      <c r="B167" s="22" t="s">
        <v>22</v>
      </c>
      <c r="C167" s="22">
        <v>173</v>
      </c>
      <c r="D167" s="22" t="s">
        <v>149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 hidden="1">
      <c r="A168" s="24">
        <v>170</v>
      </c>
      <c r="B168" s="22" t="s">
        <v>22</v>
      </c>
      <c r="C168" s="22">
        <v>123</v>
      </c>
      <c r="D168" s="22" t="s">
        <v>150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 hidden="1">
      <c r="A169" s="24">
        <v>171</v>
      </c>
      <c r="B169" s="22" t="s">
        <v>22</v>
      </c>
      <c r="C169" s="22">
        <v>123</v>
      </c>
      <c r="D169" s="22" t="s">
        <v>189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 hidden="1">
      <c r="A170" s="24">
        <v>172</v>
      </c>
      <c r="B170" s="22" t="s">
        <v>22</v>
      </c>
      <c r="C170" s="22">
        <v>123</v>
      </c>
      <c r="D170" s="22" t="s">
        <v>189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 hidden="1">
      <c r="A171" s="24">
        <v>173</v>
      </c>
      <c r="B171" s="22" t="s">
        <v>22</v>
      </c>
      <c r="C171" s="22">
        <v>113</v>
      </c>
      <c r="D171" s="22" t="s">
        <v>149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 hidden="1">
      <c r="A172" s="24">
        <v>174</v>
      </c>
      <c r="B172" s="22" t="s">
        <v>22</v>
      </c>
      <c r="C172" s="22">
        <v>143</v>
      </c>
      <c r="D172" s="22" t="s">
        <v>151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 hidden="1">
      <c r="A173" s="24">
        <v>175</v>
      </c>
      <c r="B173" s="22" t="s">
        <v>22</v>
      </c>
      <c r="C173" s="22">
        <v>133</v>
      </c>
      <c r="D173" s="22" t="s">
        <v>152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 hidden="1">
      <c r="A174" s="24">
        <v>176</v>
      </c>
      <c r="B174" s="22" t="s">
        <v>22</v>
      </c>
      <c r="C174" s="22">
        <v>133</v>
      </c>
      <c r="D174" s="22" t="s">
        <v>153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 hidden="1">
      <c r="A175" s="24">
        <v>177</v>
      </c>
      <c r="B175" s="22" t="s">
        <v>22</v>
      </c>
      <c r="C175" s="22">
        <v>133</v>
      </c>
      <c r="D175" s="22" t="s">
        <v>154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 hidden="1">
      <c r="A176" s="24">
        <v>178</v>
      </c>
      <c r="B176" s="22" t="s">
        <v>22</v>
      </c>
      <c r="C176" s="22">
        <v>133</v>
      </c>
      <c r="D176" s="22" t="s">
        <v>155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 hidden="1">
      <c r="A177" s="24">
        <v>179</v>
      </c>
      <c r="B177" s="22" t="s">
        <v>22</v>
      </c>
      <c r="C177" s="22">
        <v>143</v>
      </c>
      <c r="D177" s="22" t="s">
        <v>156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 hidden="1">
      <c r="A178" s="24">
        <v>180</v>
      </c>
      <c r="B178" s="22" t="s">
        <v>22</v>
      </c>
      <c r="C178" s="22">
        <v>143</v>
      </c>
      <c r="D178" s="22" t="s">
        <v>157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 hidden="1">
      <c r="A179" s="24">
        <v>181</v>
      </c>
      <c r="B179" s="22" t="s">
        <v>22</v>
      </c>
      <c r="C179" s="22">
        <v>123</v>
      </c>
      <c r="D179" s="22" t="s">
        <v>158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 hidden="1">
      <c r="A180" s="24">
        <v>182</v>
      </c>
      <c r="B180" s="22" t="s">
        <v>22</v>
      </c>
      <c r="C180" s="22">
        <v>183</v>
      </c>
      <c r="D180" s="22" t="s">
        <v>159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 hidden="1">
      <c r="A181" s="24">
        <v>183</v>
      </c>
      <c r="B181" s="22" t="s">
        <v>22</v>
      </c>
      <c r="C181" s="22">
        <v>163</v>
      </c>
      <c r="D181" s="22" t="s">
        <v>160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 hidden="1">
      <c r="A182" s="24">
        <v>184</v>
      </c>
      <c r="B182" s="22" t="s">
        <v>22</v>
      </c>
      <c r="C182" s="22">
        <v>163</v>
      </c>
      <c r="D182" s="22" t="s">
        <v>161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 hidden="1">
      <c r="A183" s="24">
        <v>185</v>
      </c>
      <c r="B183" s="22" t="s">
        <v>22</v>
      </c>
      <c r="C183" s="22">
        <v>143</v>
      </c>
      <c r="D183" s="22" t="s">
        <v>162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 hidden="1">
      <c r="A184" s="24">
        <v>186</v>
      </c>
      <c r="B184" s="22" t="s">
        <v>51</v>
      </c>
      <c r="C184" s="22">
        <v>173</v>
      </c>
      <c r="D184" s="22" t="s">
        <v>163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 hidden="1">
      <c r="A185" s="24">
        <v>187</v>
      </c>
      <c r="B185" s="22" t="s">
        <v>51</v>
      </c>
      <c r="C185" s="22">
        <v>173</v>
      </c>
      <c r="D185" s="22" t="s">
        <v>163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 hidden="1">
      <c r="A186" s="24">
        <v>188</v>
      </c>
      <c r="B186" s="22" t="s">
        <v>22</v>
      </c>
      <c r="C186" s="22">
        <v>163</v>
      </c>
      <c r="D186" s="22" t="s">
        <v>164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 hidden="1">
      <c r="A187" s="24">
        <v>189</v>
      </c>
      <c r="B187" s="22" t="s">
        <v>22</v>
      </c>
      <c r="C187" s="22">
        <v>183</v>
      </c>
      <c r="D187" s="22" t="s">
        <v>165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 hidden="1">
      <c r="A188" s="24">
        <v>190</v>
      </c>
      <c r="B188" s="22" t="s">
        <v>22</v>
      </c>
      <c r="C188" s="22">
        <v>193</v>
      </c>
      <c r="D188" s="22" t="s">
        <v>166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 hidden="1">
      <c r="A189" s="24">
        <v>191</v>
      </c>
      <c r="B189" s="22" t="s">
        <v>22</v>
      </c>
      <c r="C189" s="22">
        <v>193</v>
      </c>
      <c r="D189" s="22" t="s">
        <v>166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 hidden="1">
      <c r="A190" s="24">
        <v>192</v>
      </c>
      <c r="B190" s="22" t="s">
        <v>22</v>
      </c>
      <c r="C190" s="22">
        <v>193</v>
      </c>
      <c r="D190" s="22" t="s">
        <v>167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 hidden="1">
      <c r="A191" s="24">
        <v>193</v>
      </c>
      <c r="B191" s="22" t="s">
        <v>22</v>
      </c>
      <c r="C191" s="22">
        <v>183</v>
      </c>
      <c r="D191" s="22" t="s">
        <v>240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 hidden="1">
      <c r="A192" s="24">
        <v>194</v>
      </c>
      <c r="B192" s="22" t="s">
        <v>22</v>
      </c>
      <c r="C192" s="22">
        <v>183</v>
      </c>
      <c r="D192" s="22" t="s">
        <v>169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 hidden="1">
      <c r="A193" s="24">
        <v>195</v>
      </c>
      <c r="B193" s="22" t="s">
        <v>22</v>
      </c>
      <c r="C193" s="22">
        <v>282</v>
      </c>
      <c r="D193" s="22" t="s">
        <v>170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 hidden="1">
      <c r="A194" s="22">
        <v>196</v>
      </c>
      <c r="B194" s="22" t="s">
        <v>22</v>
      </c>
      <c r="C194" s="22">
        <v>1103</v>
      </c>
      <c r="D194" s="22" t="s">
        <v>170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 hidden="1">
      <c r="A195" s="22">
        <v>197</v>
      </c>
      <c r="B195" s="22" t="s">
        <v>22</v>
      </c>
      <c r="C195" s="22">
        <v>381</v>
      </c>
      <c r="D195" s="22" t="s">
        <v>193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 hidden="1">
      <c r="A196" s="27">
        <v>198</v>
      </c>
      <c r="B196" s="28" t="s">
        <v>22</v>
      </c>
      <c r="C196" s="28">
        <v>381</v>
      </c>
      <c r="D196" s="28" t="s">
        <v>204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205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 hidden="1">
      <c r="A198" s="27"/>
      <c r="B198" s="28" t="s">
        <v>22</v>
      </c>
      <c r="C198" s="28">
        <v>291</v>
      </c>
      <c r="D198" s="28" t="s">
        <v>206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 hidden="1">
      <c r="A199" s="27"/>
      <c r="B199" s="28" t="s">
        <v>22</v>
      </c>
      <c r="C199" s="28">
        <v>281</v>
      </c>
      <c r="D199" s="28" t="s">
        <v>207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 hidden="1">
      <c r="A200" s="27"/>
      <c r="B200" s="28" t="s">
        <v>22</v>
      </c>
      <c r="C200" s="28">
        <v>201</v>
      </c>
      <c r="D200" s="28" t="s">
        <v>237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 hidden="1">
      <c r="A201" s="27"/>
      <c r="B201" s="28" t="s">
        <v>215</v>
      </c>
      <c r="C201" s="28">
        <v>163</v>
      </c>
      <c r="D201" s="28" t="s">
        <v>238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 hidden="1">
      <c r="A202" s="27"/>
      <c r="B202" s="28" t="s">
        <v>22</v>
      </c>
      <c r="C202" s="28">
        <v>173</v>
      </c>
      <c r="D202" s="28" t="s">
        <v>239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 hidden="1">
      <c r="A203" s="27"/>
      <c r="B203" s="28" t="s">
        <v>22</v>
      </c>
      <c r="C203" s="28">
        <v>302</v>
      </c>
      <c r="D203" s="28" t="s">
        <v>241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 hidden="1">
      <c r="A204" s="27"/>
      <c r="B204" s="28" t="s">
        <v>22</v>
      </c>
      <c r="C204" s="28">
        <v>323</v>
      </c>
      <c r="D204" s="28" t="s">
        <v>121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 hidden="1">
      <c r="A205" s="27"/>
      <c r="B205" s="28" t="s">
        <v>22</v>
      </c>
      <c r="C205" s="28">
        <v>213</v>
      </c>
      <c r="D205" s="28" t="s">
        <v>242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 hidden="1">
      <c r="A206" s="27"/>
      <c r="B206" s="28" t="s">
        <v>22</v>
      </c>
      <c r="C206" s="28">
        <v>273</v>
      </c>
      <c r="D206" s="28" t="s">
        <v>244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 hidden="1">
      <c r="A207" s="27"/>
      <c r="B207" s="28" t="s">
        <v>22</v>
      </c>
      <c r="C207" s="28">
        <v>2103</v>
      </c>
      <c r="D207" s="28" t="s">
        <v>245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 hidden="1">
      <c r="A208" s="27"/>
      <c r="B208" s="28" t="s">
        <v>22</v>
      </c>
      <c r="C208" s="28">
        <v>2103</v>
      </c>
      <c r="D208" s="28" t="s">
        <v>246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 hidden="1">
      <c r="A209" s="27"/>
      <c r="B209" s="28" t="s">
        <v>22</v>
      </c>
      <c r="C209" s="28">
        <v>2103</v>
      </c>
      <c r="D209" s="28" t="s">
        <v>247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 hidden="1">
      <c r="A210" s="27"/>
      <c r="B210" s="28" t="s">
        <v>22</v>
      </c>
      <c r="C210" s="28">
        <v>353</v>
      </c>
      <c r="D210" s="28" t="s">
        <v>296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　黄</v>
      </c>
    </row>
    <row r="211" spans="1:8" ht="20" hidden="1">
      <c r="A211" s="27"/>
      <c r="B211" s="28" t="s">
        <v>22</v>
      </c>
      <c r="C211" s="28">
        <v>102</v>
      </c>
      <c r="D211" s="28" t="s">
        <v>274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 hidden="1">
      <c r="A212" s="27"/>
      <c r="B212" s="28" t="s">
        <v>22</v>
      </c>
      <c r="C212" s="28">
        <v>131</v>
      </c>
      <c r="D212" s="54" t="s">
        <v>283</v>
      </c>
      <c r="E212" s="28">
        <v>9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 hidden="1">
      <c r="A213" s="27"/>
      <c r="B213" s="28" t="s">
        <v>22</v>
      </c>
      <c r="C213" s="28">
        <v>131</v>
      </c>
      <c r="D213" s="28" t="s">
        <v>283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 hidden="1">
      <c r="A214" s="27"/>
      <c r="B214" s="28" t="s">
        <v>22</v>
      </c>
      <c r="C214" s="28">
        <v>131</v>
      </c>
      <c r="D214" s="28" t="s">
        <v>283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 hidden="1">
      <c r="A215" s="27"/>
      <c r="B215" s="28" t="s">
        <v>22</v>
      </c>
      <c r="C215" s="28">
        <v>193</v>
      </c>
      <c r="D215" s="28" t="s">
        <v>182</v>
      </c>
      <c r="E215" s="28">
        <v>9</v>
      </c>
      <c r="F215" s="23">
        <v>44123</v>
      </c>
      <c r="G215" s="28"/>
      <c r="H215" s="29" t="str">
        <f>CONCATENATE(Table1[[#This Row],[Order Code]],Table1[[#This Row],[NAME]])</f>
        <v>193D-224 紫</v>
      </c>
    </row>
    <row r="216" spans="1:8" ht="20" hidden="1">
      <c r="A216" s="27"/>
      <c r="B216" s="28" t="s">
        <v>215</v>
      </c>
      <c r="C216" s="28">
        <v>102</v>
      </c>
      <c r="D216" s="52" t="s">
        <v>299</v>
      </c>
      <c r="E216" s="28">
        <v>10</v>
      </c>
      <c r="F216" s="23">
        <v>44127</v>
      </c>
      <c r="G216" s="28"/>
      <c r="H216" s="29" t="str">
        <f>CONCATENATE(Table1[[#This Row],[Order Code]],Table1[[#This Row],[NAME]])</f>
        <v>102ユタカ　FG　草</v>
      </c>
    </row>
    <row r="217" spans="1:8" ht="20" hidden="1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 hidden="1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 hidden="1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 hidden="1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 hidden="1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 hidden="1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 hidden="1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 hidden="1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 hidden="1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 hidden="1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 hidden="1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 hidden="1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 hidden="1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 hidden="1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 hidden="1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 hidden="1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 hidden="1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 hidden="1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 hidden="1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 hidden="1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 hidden="1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 hidden="1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 hidden="1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0" bestFit="1" customWidth="1"/>
    <col min="2" max="2" width="22.296875" style="37" customWidth="1"/>
    <col min="3" max="3" width="30.69921875" style="38" customWidth="1"/>
    <col min="4" max="4" width="9.296875" style="39" customWidth="1"/>
    <col min="5" max="5" width="17.69921875" style="39" customWidth="1"/>
    <col min="6" max="16384" width="8.69921875" style="35"/>
  </cols>
  <sheetData>
    <row r="1" spans="1:5" ht="26" thickBot="1">
      <c r="A1" s="63" t="s">
        <v>233</v>
      </c>
      <c r="B1" s="64"/>
      <c r="C1" s="44" t="s">
        <v>273</v>
      </c>
      <c r="D1" s="44" t="s">
        <v>2</v>
      </c>
      <c r="E1" s="41"/>
    </row>
    <row r="2" spans="1:5" ht="46">
      <c r="A2" s="36">
        <v>44061</v>
      </c>
      <c r="B2" s="43" t="s">
        <v>232</v>
      </c>
    </row>
    <row r="3" spans="1:5" ht="23">
      <c r="A3" s="36">
        <v>44062</v>
      </c>
      <c r="B3" s="42" t="s">
        <v>249</v>
      </c>
    </row>
    <row r="4" spans="1:5" ht="69">
      <c r="A4" s="36">
        <v>44063</v>
      </c>
      <c r="B4" s="42" t="s">
        <v>234</v>
      </c>
    </row>
    <row r="5" spans="1:5" ht="69">
      <c r="A5" s="36">
        <v>44064</v>
      </c>
      <c r="B5" s="42" t="s">
        <v>266</v>
      </c>
    </row>
    <row r="6" spans="1:5" ht="46">
      <c r="B6" s="42" t="s">
        <v>271</v>
      </c>
    </row>
  </sheetData>
  <mergeCells count="1">
    <mergeCell ref="A1:B1"/>
  </mergeCells>
  <phoneticPr fontId="18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2020-12-10T01:19:52Z</dcterms:modified>
</cp:coreProperties>
</file>