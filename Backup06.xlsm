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A9FD0AB7-7591-CA4E-9EC0-687F7E2C3E3E}" xr6:coauthVersionLast="45" xr6:coauthVersionMax="45" xr10:uidLastSave="{00000000-0000-0000-0000-000000000000}"/>
  <bookViews>
    <workbookView xWindow="0" yWindow="460" windowWidth="25600" windowHeight="13920" activeTab="1" xr2:uid="{00000000-000D-0000-FFFF-FFFF00000000}"/>
  </bookViews>
  <sheets>
    <sheet name="PaperSummary" sheetId="23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2" l="1"/>
  <c r="I113" i="2" s="1"/>
  <c r="K113" i="2"/>
  <c r="I3" i="2"/>
  <c r="G112" i="2" l="1"/>
  <c r="I112" i="2" s="1"/>
  <c r="K112" i="2"/>
  <c r="G111" i="2"/>
  <c r="I111" i="2" s="1"/>
  <c r="K111" i="2"/>
  <c r="G110" i="2"/>
  <c r="I110" i="2" s="1"/>
  <c r="K110" i="2"/>
  <c r="F3" i="3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<sst xmlns="http://schemas.openxmlformats.org/spreadsheetml/2006/main" count="858" uniqueCount="302">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</sst>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51.484485069443" createdVersion="3" refreshedVersion="6" minRefreshableVersion="3" recordCount="106" xr:uid="{AD83C1B5-99F9-744A-A0D5-A0D54D05DE4F}">
  <cacheSource type="worksheet">
    <worksheetSource ref="A5:K111" sheet="Paper"/>
  </cacheSource>
  <cacheFields count="11">
    <cacheField name="Arrival" numFmtId="49">
      <sharedItems count="3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12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2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48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2"/>
    <x v="2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1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6"/>
    <x v="18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"/>
    <x v="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9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20"/>
    <x v="0"/>
    <x v="30"/>
  </r>
  <r>
    <x v="37"/>
    <x v="11"/>
    <x v="12"/>
    <x v="1"/>
    <x v="8"/>
    <x v="0"/>
    <x v="9"/>
    <x v="1"/>
    <x v="20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1"/>
    <x v="0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B8934-2DD0-944B-8094-2D8D98319486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9">
        <item x="31"/>
        <item x="32"/>
        <item x="30"/>
        <item x="33"/>
        <item x="34"/>
        <item x="35"/>
        <item x="36"/>
        <item x="29"/>
        <item x="38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16"/>
        <item x="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2">
        <item x="0"/>
        <item x="15"/>
        <item x="13"/>
        <item x="8"/>
        <item x="7"/>
        <item x="16"/>
        <item x="11"/>
        <item x="14"/>
        <item x="5"/>
        <item x="10"/>
        <item x="9"/>
        <item x="19"/>
        <item x="2"/>
        <item x="17"/>
        <item x="6"/>
        <item x="20"/>
        <item x="12"/>
        <item x="18"/>
        <item x="4"/>
        <item x="21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3" headerRowDxfId="33" dataDxfId="32" totalsRowDxfId="31">
  <autoFilter ref="A5:K113" xr:uid="{00000000-0009-0000-0100-000002000000}">
    <filterColumn colId="10">
      <customFilters>
        <customFilter val="*90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00C03-5228-3440-A02C-C837B0388238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6">
        <v>125</v>
      </c>
      <c r="I3" s="57"/>
      <c r="J3" s="53">
        <v>130</v>
      </c>
      <c r="K3" s="53">
        <v>135</v>
      </c>
      <c r="L3" s="53">
        <v>140</v>
      </c>
      <c r="M3" s="53">
        <v>150</v>
      </c>
      <c r="N3" s="56">
        <v>155</v>
      </c>
      <c r="O3" s="57"/>
      <c r="P3" s="53">
        <v>160</v>
      </c>
      <c r="Q3" s="53">
        <v>165</v>
      </c>
      <c r="R3" s="53">
        <v>175</v>
      </c>
      <c r="S3" s="56">
        <v>185</v>
      </c>
      <c r="T3" s="57"/>
      <c r="U3" s="56">
        <v>205</v>
      </c>
      <c r="V3" s="57"/>
      <c r="W3" s="53">
        <v>215</v>
      </c>
      <c r="X3" s="53">
        <v>220</v>
      </c>
    </row>
    <row r="4" spans="2:24" ht="46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480</v>
      </c>
      <c r="R15" s="6"/>
      <c r="S15" s="6">
        <v>600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3"/>
  <sheetViews>
    <sheetView tabSelected="1" zoomScale="107" zoomScaleNormal="107" workbookViewId="0">
      <pane ySplit="5" topLeftCell="A3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301</v>
      </c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44151.712187500001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 hidden="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6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200</v>
      </c>
      <c r="I88" s="17">
        <f t="shared" si="10"/>
        <v>100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 hidden="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 hidden="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120</v>
      </c>
      <c r="I91" s="17">
        <f t="shared" si="10"/>
        <v>480</v>
      </c>
      <c r="J91" s="18"/>
      <c r="K91" s="20" t="str">
        <f>CONCATENATE(Table2[[#This Row],[Specs]],Table2[[#This Row],[Width]],Table2[[#This Row],[Slitting]])</f>
        <v>y ユポ80 MDN 8GB165</v>
      </c>
    </row>
    <row r="92" spans="1:11" hidden="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/>
      <c r="I96" s="17">
        <f t="shared" si="12"/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8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/>
      <c r="I99" s="17">
        <f t="shared" si="12"/>
        <v>600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 hidden="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 hidden="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 hidden="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 hidden="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 hidden="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 hidden="1">
      <c r="A113" s="15"/>
      <c r="B113" s="16"/>
      <c r="C113" s="17"/>
      <c r="D113" s="17"/>
      <c r="E113" s="17"/>
      <c r="F113" s="17"/>
      <c r="G113" s="17">
        <f>F113*E113</f>
        <v>0</v>
      </c>
      <c r="H113" s="17"/>
      <c r="I113" s="17">
        <f>G113-H113</f>
        <v>0</v>
      </c>
      <c r="J113" s="18"/>
      <c r="K11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44147.601226851853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5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2020-11-16T08:13:27Z</dcterms:modified>
</cp:coreProperties>
</file>