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D12F00AC-0F33-7844-8FD8-8B9898B57942}" xr6:coauthVersionLast="46" xr6:coauthVersionMax="46" xr10:uidLastSave="{00000000-0000-0000-0000-000000000000}"/>
  <bookViews>
    <workbookView xWindow="0" yWindow="500" windowWidth="25600" windowHeight="13900" xr2:uid="{00000000-000D-0000-FFFF-FFFF00000000}"/>
  </bookViews>
  <sheets>
    <sheet name="PaperSummary" sheetId="345" r:id="rId1"/>
    <sheet name="Paper" sheetId="2" r:id="rId2"/>
    <sheet name="INK" sheetId="3" r:id="rId3"/>
    <sheet name="Others" sheetId="265" r:id="rId4"/>
    <sheet name="Change Log" sheetId="109" state="hidden" r:id="rId5"/>
    <sheet name="Storage" sheetId="328" state="hidden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2" hidden="1">INK!$A$5:$G$238</definedName>
    <definedName name="_xlnm._FilterDatabase" localSheetId="1" hidden="1">Paper!$A$5:$J$174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9"/>
  </pivotCaches>
</workbook>
</file>

<file path=xl/calcChain.xml><?xml version="1.0" encoding="utf-8"?>
<calcChain xmlns="http://schemas.openxmlformats.org/spreadsheetml/2006/main">
  <c r="G174" i="2" l="1"/>
  <c r="I174" i="2" s="1"/>
  <c r="K174" i="2"/>
  <c r="G173" i="2"/>
  <c r="I173" i="2" s="1"/>
  <c r="K173" i="2"/>
  <c r="G172" i="2"/>
  <c r="I172" i="2" s="1"/>
  <c r="K172" i="2"/>
  <c r="G171" i="2"/>
  <c r="I171" i="2" s="1"/>
  <c r="K171" i="2"/>
  <c r="G170" i="2"/>
  <c r="I170" i="2" s="1"/>
  <c r="K170" i="2"/>
  <c r="G169" i="2"/>
  <c r="I169" i="2" s="1"/>
  <c r="K169" i="2"/>
  <c r="G168" i="2"/>
  <c r="I168" i="2" s="1"/>
  <c r="K168" i="2"/>
  <c r="G167" i="2"/>
  <c r="I167" i="2" s="1"/>
  <c r="K167" i="2"/>
  <c r="G166" i="2"/>
  <c r="I166" i="2" s="1"/>
  <c r="K166" i="2"/>
  <c r="G165" i="2"/>
  <c r="I165" i="2" s="1"/>
  <c r="K165" i="2"/>
  <c r="G164" i="2"/>
  <c r="I164" i="2" s="1"/>
  <c r="K164" i="2"/>
  <c r="G163" i="2"/>
  <c r="I163" i="2" s="1"/>
  <c r="K163" i="2"/>
  <c r="G162" i="2"/>
  <c r="I162" i="2" s="1"/>
  <c r="K162" i="2"/>
  <c r="G161" i="2"/>
  <c r="I161" i="2" s="1"/>
  <c r="K161" i="2"/>
  <c r="B1" i="345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8" i="3" l="1"/>
  <c r="H237" i="3"/>
  <c r="H236" i="3"/>
  <c r="H235" i="3"/>
  <c r="H234" i="3"/>
  <c r="H233" i="3"/>
  <c r="H232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<sst xmlns="http://schemas.openxmlformats.org/spreadsheetml/2006/main" count="1121" uniqueCount="380">
  <si>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</si>
  <si>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</si>
  <si>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</si>
  <si>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</si>
  <si>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</si>
  <si>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</si>
  <si>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</si>
  <si>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</si>
  <si>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</si>
  <si>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</si>
  <si>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</si>
  <si>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</si>
  <si>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</si>
  <si>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</si>
  <si>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</si>
  <si>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</si>
  <si>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</si>
  <si>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</si>
  <si>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</si>
  <si>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</si>
  <si>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</si>
  <si>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</si>
  <si>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</si>
  <si>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</si>
  <si>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</si>
  <si>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</si>
  <si>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</si>
  <si>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</si>
  <si>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</si>
  <si>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</si>
  <si>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</si>
  <si>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</si>
  <si>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</si>
  <si>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</si>
  <si>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</si>
  <si>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</si>
  <si>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</si>
  <si>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</si>
  <si>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</si>
  <si>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</si>
  <si>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</si>
  <si>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</si>
  <si>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</si>
  <si>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</si>
  <si>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</si>
  <si>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</si>
  <si>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</si>
  <si>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</si>
  <si>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</si>
  <si>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</si>
  <si>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</si>
  <si>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</si>
  <si>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</si>
  <si>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</si>
  <si>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</si>
  <si>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</si>
  <si>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</si>
  <si>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</si>
  <si>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</si>
  <si>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</si>
  <si>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</si>
  <si>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</si>
  <si>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</si>
  <si>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</si>
  <si>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</si>
  <si>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</si>
  <si>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</si>
  <si>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</si>
  <si>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</si>
  <si>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</si>
  <si>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</si>
  <si>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</si>
  <si>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</si>
  <si>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</si>
  <si>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</si>
  <si>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</si>
  <si>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</si>
  <si>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</si>
  <si>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</si>
  <si>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</si>
  <si>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</si>
  <si>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</si>
  <si>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</si>
  <si>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</si>
  <si>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</si>
  <si>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</si>
  <si>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</si>
  <si>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</si>
  <si>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</si>
  <si>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</si>
  <si>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</si>
  <si>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</si>
  <si>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</si>
  <si>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</si>
  <si>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</si>
  <si>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</si>
  <si>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</si>
  <si>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</si>
  <si>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</si>
  <si>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</si>
  <si>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</si>
  <si>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</si>
  <si>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</si>
  <si>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</si>
  <si>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</si>
  <si>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</si>
  <si>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</si>
  <si>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</si>
  <si>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</si>
  <si>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</si>
  <si>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</si>
  <si>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</si>
  <si>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</si>
  <si>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</si>
  <si>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</si>
  <si>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</si>
  <si>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</si>
  <si>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</si>
  <si>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</si>
  <si>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</si>
  <si>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</si>
  <si>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</si>
  <si>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</si>
  <si>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</si>
  <si>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</si>
  <si>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</si>
  <si>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</si>
  <si>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</si>
  <si>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</si>
  <si>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</si>
  <si>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</si>
  <si>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</si>
  <si>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</si>
  <si>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</si>
  <si>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</si>
  <si>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</si>
  <si>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</si>
  <si>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</si>
  <si>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</si>
  <si>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</si>
  <si>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</si>
  <si>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</si>
  <si>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</si>
  <si>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</si>
  <si>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</si>
  <si>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</si>
  <si>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</si>
  <si>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</si>
  <si>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</si>
  <si>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</si>
  <si>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</si>
  <si>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</si>
  <si>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</si>
  <si>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</si>
  <si>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</si>
  <si>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</si>
  <si>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</si>
  <si>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</si>
  <si>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</si>
  <si>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</si>
  <si>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</si>
  <si>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</si>
  <si>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</si>
  <si>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</si>
  <si>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</si>
  <si>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</si>
  <si>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</si>
  <si>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</si>
  <si>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</si>
  <si>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</si>
  <si>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</si>
  <si>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</si>
  <si>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</si>
  <si>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</si>
  <si>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</si>
  <si>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</si>
  <si>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</si>
  <si>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</si>
  <si>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</si>
  <si>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</si>
  <si>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</si>
  <si>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</si>
  <si>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</si>
  <si>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</si>
  <si>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</si>
  <si>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</si>
  <si>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</si>
  <si>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</si>
  <si>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</si>
  <si>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</si>
  <si>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</si>
  <si>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</si>
  <si>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</si>
  <si>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</si>
  <si>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</si>
  <si>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</si>
  <si>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</si>
  <si>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</si>
  <si>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</si>
  <si>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</si>
  <si>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</si>
  <si>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</si>
  <si>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</si>
  <si>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</si>
  <si>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</si>
  <si>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</si>
  <si>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</si>
  <si>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</si>
  <si>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</si>
  <si>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</si>
  <si>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</si>
  <si>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</si>
  <si>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</si>
  <si>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</si>
  <si>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</si>
  <si>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</si>
  <si>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</si>
  <si>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</si>
  <si>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</si>
  <si>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</si>
  <si>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</si>
  <si>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</si>
  <si>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</si>
  <si>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</si>
  <si>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</si>
  <si>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</si>
  <si>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</si>
  <si>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</si>
  <si>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</si>
  <si>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</si>
  <si>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</si>
  <si>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</si>
  <si>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</si>
  <si>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</si>
  <si>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</si>
  <si>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</si>
  <si>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</si>
  <si>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</si>
  <si>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</si>
  <si>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</si>
  <si>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</si>
  <si>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</si>
  <si>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</si>
  <si>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</si>
  <si>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</si>
  <si>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</si>
  <si>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</si>
  <si>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</si>
  <si>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</si>
  <si>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</si>
  <si>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</si>
  <si>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</si>
  <si>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</si>
  <si>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</si>
  <si>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</si>
  <si>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</si>
  <si>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</si>
  <si>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</si>
  <si>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</si>
  <si>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</si>
  <si>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</si>
  <si>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</si>
  <si>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</si>
  <si>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</si>
  <si>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</si>
  <si>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</si>
  <si>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</si>
  <si>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</si>
  <si>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</si>
  <si>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</si>
  <si>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</si>
  <si>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</si>
  <si>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</si>
  <si>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</si>
  <si>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</si>
  <si>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</si>
  <si>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</si>
  <si>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</si>
  <si>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</si>
  <si>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</si>
  <si>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</si>
  <si>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</si>
  <si>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</si>
  <si>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</si>
  <si>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</si>
  <si>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</si>
  <si>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</si>
  <si>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</si>
  <si>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</si>
  <si>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</si>
  <si>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</si>
  <si>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</si>
  <si>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</si>
  <si>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</si>
  <si>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</si>
  <si>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</si>
  <si>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</si>
  <si>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</si>
  <si>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</si>
  <si>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</si>
  <si>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</si>
  <si>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</si>
  <si>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</si>
  <si>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</si>
  <si>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</si>
  <si>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</si>
  <si>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</si>
  <si>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</si>
  <si>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</si>
  <si>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</si>
  <si>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</si>
  <si>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</si>
  <si>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</si>
  <si>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</si>
  <si>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</si>
  <si>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</si>
  <si>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</si>
  <si>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</si>
  <si>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</si>
  <si>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</si>
  <si>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</si>
  <si>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</si>
  <si>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</si>
  <si>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</si>
  <si>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</si>
  <si>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</si>
  <si>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</si>
  <si>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</si>
  <si>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</si>
  <si>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</si>
  <si>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</si>
  <si>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</si>
  <si>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</si>
  <si>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</si>
  <si>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</si>
  <si>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</si>
  <si>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</si>
  <si>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</si>
  <si>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</si>
  <si>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</si>
  <si>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</si>
  <si>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</si>
  <si>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</si>
  <si>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</si>
  <si>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</si>
  <si>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</si>
  <si>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</si>
  <si>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</si>
  <si>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</si>
  <si>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</si>
  <si>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</si>
  <si>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</si>
  <si>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</si>
  <si>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</si>
  <si>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</si>
  <si>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</si>
  <si>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</si>
  <si>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</si>
  <si>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</si>
  <si>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</si>
  <si>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</si>
  <si>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</si>
  <si>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</si>
  <si>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</si>
  <si>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</si>
  <si>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</si>
  <si>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</si>
  <si>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</si>
  <si>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2/17/2021</t>
  </si>
  <si>
    <t>サンレックス 3.5</t>
  </si>
  <si>
    <t>1</t>
  </si>
  <si>
    <t>2</t>
  </si>
  <si>
    <t>バリガード4(4x4kg)</t>
  </si>
  <si>
    <t>バリガード4(4kg)</t>
  </si>
  <si>
    <t>2/19/2021</t>
  </si>
  <si>
    <t>R-8169(10kg)</t>
  </si>
  <si>
    <t>3/3/2021</t>
  </si>
  <si>
    <t>D91 青</t>
  </si>
  <si>
    <t>3/4/2021</t>
  </si>
  <si>
    <t>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</si>
</sst>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m/d/yy\ h:mm;@"/>
    <numFmt numFmtId="168" formatCode="_(* #,##0_);_(* \(#,##0\);_(* &quot;-&quot;??_);_(@_)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19" fillId="0" borderId="0" xfId="0" applyFont="1" applyAlignment="1"/>
    <xf numFmtId="49" fontId="19" fillId="0" borderId="0" xfId="0" applyNumberFormat="1" applyFont="1" applyAlignment="1"/>
    <xf numFmtId="0" fontId="19" fillId="0" borderId="0" xfId="0" applyNumberFormat="1" applyFont="1" applyAlignment="1"/>
    <xf numFmtId="0" fontId="20" fillId="0" borderId="0" xfId="0" applyFont="1" applyAlignment="1"/>
    <xf numFmtId="168" fontId="19" fillId="0" borderId="0" xfId="1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3"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68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64.584475231481" createdVersion="3" refreshedVersion="6" minRefreshableVersion="3" recordCount="168" xr:uid="{015796EC-BE4A-8341-9B37-6E3738B054C7}">
  <cacheSource type="worksheet">
    <worksheetSource ref="A5:K173" sheet="Paper"/>
  </cacheSource>
  <cacheFields count="11">
    <cacheField name="Arrival" numFmtId="49">
      <sharedItems count="6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  <s v="2/19/2021"/>
        <s v="3/3/2021"/>
        <s v="3/4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1">
        <n v="600"/>
        <n v="120"/>
        <m/>
        <n v="0"/>
        <n v="100"/>
        <n v="400"/>
        <n v="550"/>
        <n v="570"/>
        <n v="180"/>
        <n v="70"/>
        <n v="500"/>
        <n v="480"/>
        <n v="300"/>
        <n v="580"/>
        <n v="585"/>
        <n v="380"/>
        <n v="10"/>
        <n v="250"/>
        <n v="80"/>
        <n v="1000"/>
        <n v="200"/>
      </sharedItems>
    </cacheField>
    <cacheField name="Remaining" numFmtId="0">
      <sharedItems containsSemiMixedTypes="0" containsString="0" containsNumber="1" containsInteger="1" minValue="0" maxValue="1200" count="21">
        <n v="0"/>
        <n v="480"/>
        <n v="600"/>
        <n v="1200"/>
        <n v="500"/>
        <n v="200"/>
        <n v="50"/>
        <n v="300"/>
        <n v="30"/>
        <n v="20"/>
        <n v="130"/>
        <n v="100"/>
        <n v="120"/>
        <n v="60"/>
        <n v="400"/>
        <n v="15"/>
        <n v="80"/>
        <n v="290"/>
        <n v="350"/>
        <n v="52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3"/>
    <x v="2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2"/>
    <x v="3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4"/>
    <x v="4"/>
    <x v="0"/>
    <x v="4"/>
  </r>
  <r>
    <x v="4"/>
    <x v="1"/>
    <x v="2"/>
    <x v="1"/>
    <x v="0"/>
    <x v="0"/>
    <x v="0"/>
    <x v="5"/>
    <x v="5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0"/>
    <x v="0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0"/>
    <x v="0"/>
    <x v="1"/>
    <x v="7"/>
  </r>
  <r>
    <x v="12"/>
    <x v="0"/>
    <x v="6"/>
    <x v="0"/>
    <x v="0"/>
    <x v="0"/>
    <x v="0"/>
    <x v="6"/>
    <x v="6"/>
    <x v="1"/>
    <x v="7"/>
  </r>
  <r>
    <x v="13"/>
    <x v="3"/>
    <x v="3"/>
    <x v="1"/>
    <x v="1"/>
    <x v="0"/>
    <x v="2"/>
    <x v="2"/>
    <x v="7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7"/>
    <x v="0"/>
    <x v="13"/>
  </r>
  <r>
    <x v="16"/>
    <x v="3"/>
    <x v="3"/>
    <x v="1"/>
    <x v="2"/>
    <x v="0"/>
    <x v="3"/>
    <x v="2"/>
    <x v="5"/>
    <x v="0"/>
    <x v="13"/>
  </r>
  <r>
    <x v="12"/>
    <x v="2"/>
    <x v="5"/>
    <x v="1"/>
    <x v="0"/>
    <x v="0"/>
    <x v="0"/>
    <x v="7"/>
    <x v="8"/>
    <x v="2"/>
    <x v="6"/>
  </r>
  <r>
    <x v="12"/>
    <x v="3"/>
    <x v="3"/>
    <x v="1"/>
    <x v="2"/>
    <x v="0"/>
    <x v="3"/>
    <x v="8"/>
    <x v="9"/>
    <x v="0"/>
    <x v="13"/>
  </r>
  <r>
    <x v="12"/>
    <x v="3"/>
    <x v="3"/>
    <x v="1"/>
    <x v="2"/>
    <x v="0"/>
    <x v="3"/>
    <x v="9"/>
    <x v="10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0"/>
    <x v="0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11"/>
    <x v="2"/>
    <x v="15"/>
  </r>
  <r>
    <x v="12"/>
    <x v="0"/>
    <x v="3"/>
    <x v="1"/>
    <x v="0"/>
    <x v="0"/>
    <x v="0"/>
    <x v="0"/>
    <x v="0"/>
    <x v="1"/>
    <x v="4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11"/>
    <x v="12"/>
    <x v="1"/>
    <x v="16"/>
  </r>
  <r>
    <x v="12"/>
    <x v="1"/>
    <x v="3"/>
    <x v="1"/>
    <x v="0"/>
    <x v="0"/>
    <x v="0"/>
    <x v="12"/>
    <x v="7"/>
    <x v="1"/>
    <x v="16"/>
  </r>
  <r>
    <x v="12"/>
    <x v="1"/>
    <x v="3"/>
    <x v="1"/>
    <x v="0"/>
    <x v="0"/>
    <x v="0"/>
    <x v="13"/>
    <x v="9"/>
    <x v="1"/>
    <x v="16"/>
  </r>
  <r>
    <x v="17"/>
    <x v="5"/>
    <x v="9"/>
    <x v="1"/>
    <x v="4"/>
    <x v="0"/>
    <x v="5"/>
    <x v="2"/>
    <x v="13"/>
    <x v="3"/>
    <x v="17"/>
  </r>
  <r>
    <x v="12"/>
    <x v="0"/>
    <x v="1"/>
    <x v="0"/>
    <x v="0"/>
    <x v="0"/>
    <x v="0"/>
    <x v="13"/>
    <x v="9"/>
    <x v="1"/>
    <x v="18"/>
  </r>
  <r>
    <x v="12"/>
    <x v="3"/>
    <x v="10"/>
    <x v="1"/>
    <x v="5"/>
    <x v="0"/>
    <x v="6"/>
    <x v="2"/>
    <x v="14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5"/>
    <x v="1"/>
    <x v="21"/>
  </r>
  <r>
    <x v="12"/>
    <x v="7"/>
    <x v="12"/>
    <x v="1"/>
    <x v="3"/>
    <x v="0"/>
    <x v="4"/>
    <x v="2"/>
    <x v="11"/>
    <x v="1"/>
    <x v="22"/>
  </r>
  <r>
    <x v="12"/>
    <x v="7"/>
    <x v="12"/>
    <x v="1"/>
    <x v="0"/>
    <x v="0"/>
    <x v="0"/>
    <x v="14"/>
    <x v="15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5"/>
    <x v="9"/>
    <x v="2"/>
    <x v="23"/>
  </r>
  <r>
    <x v="12"/>
    <x v="9"/>
    <x v="14"/>
    <x v="1"/>
    <x v="6"/>
    <x v="0"/>
    <x v="7"/>
    <x v="2"/>
    <x v="16"/>
    <x v="0"/>
    <x v="24"/>
  </r>
  <r>
    <x v="18"/>
    <x v="9"/>
    <x v="14"/>
    <x v="1"/>
    <x v="6"/>
    <x v="0"/>
    <x v="7"/>
    <x v="2"/>
    <x v="16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6"/>
    <x v="0"/>
    <x v="24"/>
  </r>
  <r>
    <x v="23"/>
    <x v="9"/>
    <x v="12"/>
    <x v="1"/>
    <x v="5"/>
    <x v="0"/>
    <x v="6"/>
    <x v="2"/>
    <x v="14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5"/>
    <x v="9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12"/>
    <x v="0"/>
    <x v="0"/>
    <x v="14"/>
  </r>
  <r>
    <x v="30"/>
    <x v="2"/>
    <x v="8"/>
    <x v="1"/>
    <x v="1"/>
    <x v="0"/>
    <x v="2"/>
    <x v="16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5"/>
    <x v="11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2"/>
    <x v="4"/>
    <x v="0"/>
    <x v="30"/>
  </r>
  <r>
    <x v="37"/>
    <x v="11"/>
    <x v="12"/>
    <x v="1"/>
    <x v="7"/>
    <x v="0"/>
    <x v="8"/>
    <x v="2"/>
    <x v="4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17"/>
    <x v="11"/>
    <x v="0"/>
    <x v="30"/>
  </r>
  <r>
    <x v="38"/>
    <x v="10"/>
    <x v="3"/>
    <x v="1"/>
    <x v="0"/>
    <x v="0"/>
    <x v="0"/>
    <x v="2"/>
    <x v="2"/>
    <x v="0"/>
    <x v="31"/>
  </r>
  <r>
    <x v="38"/>
    <x v="10"/>
    <x v="8"/>
    <x v="1"/>
    <x v="0"/>
    <x v="0"/>
    <x v="0"/>
    <x v="18"/>
    <x v="19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6"/>
    <x v="6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2"/>
    <x v="4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9"/>
    <x v="0"/>
    <x v="0"/>
    <x v="34"/>
  </r>
  <r>
    <x v="47"/>
    <x v="0"/>
    <x v="16"/>
    <x v="1"/>
    <x v="0"/>
    <x v="0"/>
    <x v="0"/>
    <x v="12"/>
    <x v="7"/>
    <x v="0"/>
    <x v="26"/>
  </r>
  <r>
    <x v="48"/>
    <x v="0"/>
    <x v="4"/>
    <x v="1"/>
    <x v="0"/>
    <x v="0"/>
    <x v="0"/>
    <x v="0"/>
    <x v="0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20"/>
    <x v="14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7"/>
    <x v="8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6"/>
    <x v="6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5"/>
    <x v="5"/>
    <x v="0"/>
    <x v="5"/>
  </r>
  <r>
    <x v="58"/>
    <x v="3"/>
    <x v="19"/>
    <x v="1"/>
    <x v="2"/>
    <x v="0"/>
    <x v="3"/>
    <x v="2"/>
    <x v="5"/>
    <x v="0"/>
    <x v="37"/>
  </r>
  <r>
    <x v="58"/>
    <x v="3"/>
    <x v="19"/>
    <x v="1"/>
    <x v="5"/>
    <x v="0"/>
    <x v="6"/>
    <x v="2"/>
    <x v="14"/>
    <x v="0"/>
    <x v="37"/>
  </r>
  <r>
    <x v="59"/>
    <x v="0"/>
    <x v="0"/>
    <x v="0"/>
    <x v="0"/>
    <x v="0"/>
    <x v="0"/>
    <x v="0"/>
    <x v="0"/>
    <x v="0"/>
    <x v="0"/>
  </r>
  <r>
    <x v="59"/>
    <x v="0"/>
    <x v="7"/>
    <x v="1"/>
    <x v="0"/>
    <x v="0"/>
    <x v="0"/>
    <x v="2"/>
    <x v="2"/>
    <x v="0"/>
    <x v="8"/>
  </r>
  <r>
    <x v="59"/>
    <x v="0"/>
    <x v="7"/>
    <x v="1"/>
    <x v="0"/>
    <x v="0"/>
    <x v="0"/>
    <x v="0"/>
    <x v="0"/>
    <x v="0"/>
    <x v="8"/>
  </r>
  <r>
    <x v="59"/>
    <x v="0"/>
    <x v="4"/>
    <x v="1"/>
    <x v="0"/>
    <x v="0"/>
    <x v="0"/>
    <x v="0"/>
    <x v="0"/>
    <x v="0"/>
    <x v="9"/>
  </r>
  <r>
    <x v="60"/>
    <x v="3"/>
    <x v="16"/>
    <x v="1"/>
    <x v="1"/>
    <x v="0"/>
    <x v="2"/>
    <x v="1"/>
    <x v="20"/>
    <x v="0"/>
    <x v="38"/>
  </r>
  <r>
    <x v="61"/>
    <x v="0"/>
    <x v="7"/>
    <x v="1"/>
    <x v="0"/>
    <x v="0"/>
    <x v="0"/>
    <x v="0"/>
    <x v="0"/>
    <x v="0"/>
    <x v="8"/>
  </r>
  <r>
    <x v="61"/>
    <x v="0"/>
    <x v="0"/>
    <x v="1"/>
    <x v="0"/>
    <x v="0"/>
    <x v="0"/>
    <x v="2"/>
    <x v="2"/>
    <x v="0"/>
    <x v="1"/>
  </r>
  <r>
    <x v="62"/>
    <x v="0"/>
    <x v="6"/>
    <x v="1"/>
    <x v="0"/>
    <x v="0"/>
    <x v="0"/>
    <x v="0"/>
    <x v="0"/>
    <x v="0"/>
    <x v="10"/>
  </r>
  <r>
    <x v="63"/>
    <x v="0"/>
    <x v="7"/>
    <x v="1"/>
    <x v="0"/>
    <x v="0"/>
    <x v="0"/>
    <x v="0"/>
    <x v="0"/>
    <x v="0"/>
    <x v="8"/>
  </r>
  <r>
    <x v="63"/>
    <x v="0"/>
    <x v="7"/>
    <x v="1"/>
    <x v="0"/>
    <x v="0"/>
    <x v="0"/>
    <x v="0"/>
    <x v="0"/>
    <x v="0"/>
    <x v="8"/>
  </r>
  <r>
    <x v="64"/>
    <x v="0"/>
    <x v="6"/>
    <x v="1"/>
    <x v="0"/>
    <x v="0"/>
    <x v="0"/>
    <x v="0"/>
    <x v="0"/>
    <x v="0"/>
    <x v="10"/>
  </r>
  <r>
    <x v="64"/>
    <x v="0"/>
    <x v="6"/>
    <x v="1"/>
    <x v="0"/>
    <x v="0"/>
    <x v="0"/>
    <x v="0"/>
    <x v="0"/>
    <x v="0"/>
    <x v="10"/>
  </r>
  <r>
    <x v="64"/>
    <x v="0"/>
    <x v="8"/>
    <x v="1"/>
    <x v="0"/>
    <x v="0"/>
    <x v="0"/>
    <x v="2"/>
    <x v="2"/>
    <x v="0"/>
    <x v="12"/>
  </r>
  <r>
    <x v="65"/>
    <x v="0"/>
    <x v="8"/>
    <x v="1"/>
    <x v="0"/>
    <x v="0"/>
    <x v="0"/>
    <x v="0"/>
    <x v="0"/>
    <x v="0"/>
    <x v="12"/>
  </r>
  <r>
    <x v="65"/>
    <x v="0"/>
    <x v="0"/>
    <x v="0"/>
    <x v="0"/>
    <x v="0"/>
    <x v="0"/>
    <x v="0"/>
    <x v="0"/>
    <x v="0"/>
    <x v="0"/>
  </r>
  <r>
    <x v="66"/>
    <x v="0"/>
    <x v="6"/>
    <x v="1"/>
    <x v="0"/>
    <x v="0"/>
    <x v="0"/>
    <x v="2"/>
    <x v="2"/>
    <x v="0"/>
    <x v="10"/>
  </r>
  <r>
    <x v="66"/>
    <x v="0"/>
    <x v="7"/>
    <x v="1"/>
    <x v="0"/>
    <x v="0"/>
    <x v="0"/>
    <x v="2"/>
    <x v="2"/>
    <x v="0"/>
    <x v="8"/>
  </r>
  <r>
    <x v="66"/>
    <x v="0"/>
    <x v="7"/>
    <x v="1"/>
    <x v="0"/>
    <x v="0"/>
    <x v="0"/>
    <x v="2"/>
    <x v="2"/>
    <x v="0"/>
    <x v="8"/>
  </r>
  <r>
    <x v="66"/>
    <x v="0"/>
    <x v="7"/>
    <x v="1"/>
    <x v="0"/>
    <x v="0"/>
    <x v="0"/>
    <x v="2"/>
    <x v="2"/>
    <x v="0"/>
    <x v="8"/>
  </r>
  <r>
    <x v="67"/>
    <x v="10"/>
    <x v="15"/>
    <x v="1"/>
    <x v="0"/>
    <x v="0"/>
    <x v="0"/>
    <x v="2"/>
    <x v="2"/>
    <x v="0"/>
    <x v="25"/>
  </r>
  <r>
    <x v="67"/>
    <x v="10"/>
    <x v="15"/>
    <x v="1"/>
    <x v="0"/>
    <x v="0"/>
    <x v="0"/>
    <x v="2"/>
    <x v="2"/>
    <x v="0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06BA8-3E9B-AB4C-B7D3-F54A42F1F48E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8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64"/>
        <item x="5"/>
        <item x="65"/>
        <item x="57"/>
        <item x="61"/>
        <item x="55"/>
        <item x="54"/>
        <item x="56"/>
        <item x="18"/>
        <item x="17"/>
        <item x="7"/>
        <item x="66"/>
        <item x="6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3"/>
        <item x="16"/>
        <item x="9"/>
        <item x="18"/>
        <item x="4"/>
        <item x="1"/>
        <item x="8"/>
        <item x="20"/>
        <item x="17"/>
        <item x="12"/>
        <item x="15"/>
        <item x="5"/>
        <item x="11"/>
        <item x="10"/>
        <item x="6"/>
        <item x="7"/>
        <item x="13"/>
        <item x="14"/>
        <item x="0"/>
        <item x="19"/>
        <item x="2"/>
      </items>
    </pivotField>
    <pivotField dataField="1" showAll="0" defaultSubtotal="0">
      <items count="21">
        <item x="0"/>
        <item x="15"/>
        <item x="9"/>
        <item x="8"/>
        <item x="6"/>
        <item x="13"/>
        <item x="16"/>
        <item x="11"/>
        <item x="12"/>
        <item x="10"/>
        <item x="20"/>
        <item x="5"/>
        <item x="17"/>
        <item x="7"/>
        <item x="18"/>
        <item x="14"/>
        <item x="1"/>
        <item x="4"/>
        <item x="19"/>
        <item x="2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74" headerRowDxfId="52" dataDxfId="51" totalsRowDxfId="50">
  <autoFilter ref="A5:K174" xr:uid="{00000000-0009-0000-0100-000002000000}">
    <filterColumn colId="1">
      <filters>
        <filter val="y ユポ80 MDN 8GB"/>
      </filters>
    </filterColumn>
    <filterColumn colId="10">
      <customFilters>
        <customFilter val="*90*"/>
      </customFilters>
    </filterColumn>
  </autoFilter>
  <tableColumns count="11">
    <tableColumn id="1" xr3:uid="{00000000-0010-0000-0000-000001000000}" name="Arrival" totalsRowLabel="Total" dataDxfId="49" totalsRowDxfId="48"/>
    <tableColumn id="2" xr3:uid="{00000000-0010-0000-0000-000002000000}" name="Specs" dataDxfId="47" totalsRowDxfId="46"/>
    <tableColumn id="3" xr3:uid="{00000000-0010-0000-0000-000003000000}" name="Width" dataDxfId="45" totalsRowDxfId="44"/>
    <tableColumn id="9" xr3:uid="{00000000-0010-0000-0000-000009000000}" name="Slitting" dataDxfId="43" totalsRowDxfId="42"/>
    <tableColumn id="4" xr3:uid="{00000000-0010-0000-0000-000004000000}" name="Length" dataDxfId="41" totalsRowDxfId="40"/>
    <tableColumn id="5" xr3:uid="{00000000-0010-0000-0000-000005000000}" name="Roll" dataDxfId="39" totalsRowDxfId="38"/>
    <tableColumn id="6" xr3:uid="{00000000-0010-0000-0000-000006000000}" name="Total" dataDxfId="37" totalsRowDxfId="36">
      <calculatedColumnFormula>F6*E6</calculatedColumnFormula>
    </tableColumn>
    <tableColumn id="7" xr3:uid="{00000000-0010-0000-0000-000007000000}" name="Used" dataDxfId="35" totalsRowDxfId="34"/>
    <tableColumn id="8" xr3:uid="{00000000-0010-0000-0000-000008000000}" name="Remaining" dataDxfId="33" totalsRowDxfId="32">
      <calculatedColumnFormula>G6-H6</calculatedColumnFormula>
    </tableColumn>
    <tableColumn id="10" xr3:uid="{00000000-0010-0000-0000-00000A000000}" name="Lining" dataDxfId="31" totalsRowDxfId="30"/>
    <tableColumn id="11" xr3:uid="{00000000-0010-0000-0000-00000B000000}" name="Index" totalsRowFunction="count" dataDxfId="29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8" totalsRowShown="0" headerRowDxfId="28" dataDxfId="27">
  <autoFilter ref="A5:H238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26"/>
    <tableColumn id="2" xr3:uid="{00000000-0010-0000-0100-000002000000}" name="LINE" dataDxfId="25"/>
    <tableColumn id="3" xr3:uid="{00000000-0010-0000-0100-000003000000}" name="Order Code" dataDxfId="24"/>
    <tableColumn id="4" xr3:uid="{00000000-0010-0000-0100-000004000000}" name="NAME" dataDxfId="23"/>
    <tableColumn id="7" xr3:uid="{00000000-0010-0000-0100-000007000000}" name="REMAINING" dataDxfId="22"/>
    <tableColumn id="6" xr3:uid="{00000000-0010-0000-0100-000006000000}" name="IMPORT DATE" dataDxfId="21"/>
    <tableColumn id="8" xr3:uid="{00000000-0010-0000-0100-000008000000}" name="COLOR STD" dataDxfId="20"/>
    <tableColumn id="9" xr3:uid="{00000000-0010-0000-0100-000009000000}" name="Index" dataDxfId="19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E2B974-5EB2-B444-8159-E772BAA042D7}" name="Table3" displayName="Table3" ref="A4:L32" totalsRowShown="0" headerRowDxfId="18" dataDxfId="17">
  <autoFilter ref="A4:L32" xr:uid="{2B0FEFF4-7EF3-B54D-B3E6-808DF4203ADB}"/>
  <tableColumns count="12">
    <tableColumn id="1" xr3:uid="{326CA969-F76E-DD45-A448-2EB0CC3A1E14}" name="Item" dataDxfId="16"/>
    <tableColumn id="12" xr3:uid="{345ECD02-4CC9-264C-859A-F5559A9483F4}" name="Used" dataDxfId="15"/>
    <tableColumn id="11" xr3:uid="{46C93879-F528-B046-91B0-2F690DBFC1B6}" name="Price" dataDxfId="14" dataCellStyle="Comma"/>
    <tableColumn id="2" xr3:uid="{94331D38-FB24-BC42-9C2A-75FC90CF759E}" name="Order No." dataDxfId="13"/>
    <tableColumn id="10" xr3:uid="{344F67DB-8944-5646-A4AD-415B23CFEF87}" name="Order Qty" dataDxfId="12"/>
    <tableColumn id="3" xr3:uid="{81B69717-EF50-964A-9D69-F880A47FBE35}" name="一本" dataDxfId="11"/>
    <tableColumn id="4" xr3:uid="{C260D21A-2F90-F64E-957D-52353309EECB}" name="Size" dataDxfId="10"/>
    <tableColumn id="5" xr3:uid="{5027592F-297D-0342-9A60-1178D09CB995}" name="Made Qty." dataDxfId="9"/>
    <tableColumn id="6" xr3:uid="{5DD021C4-82A5-2B4E-A21F-01878F596B5F}" name="No. of parts" dataDxfId="8"/>
    <tableColumn id="7" xr3:uid="{F75D1D7D-B7E9-6C4F-B480-7C568B3EDE37}" name="Box Name" dataDxfId="7"/>
    <tableColumn id="8" xr3:uid="{897F741F-2B64-9C41-9264-6B4530CF42B0}" name="Production Date" dataDxfId="6"/>
    <tableColumn id="9" xr3:uid="{BCCE5F6F-AED2-D84A-9220-A9B392E36D62}" name="No. of order last year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90A8C-EA7B-7147-824E-1AF1B2B21149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3.8984375" bestFit="1" customWidth="1"/>
    <col min="11" max="14" width="5.59765625" bestFit="1" customWidth="1"/>
    <col min="15" max="15" width="7.59765625" bestFit="1" customWidth="1"/>
    <col min="16" max="16" width="1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1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44264.584444444445</v>
      </c>
    </row>
    <row r="2" spans="2:26">
      <c r="B2" s="7" t="s">
        <v>201</v>
      </c>
      <c r="C2" s="7" t="s">
        <v>197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2:26">
      <c r="B3" s="57"/>
      <c r="C3" s="56">
        <v>40</v>
      </c>
      <c r="D3" s="56">
        <v>90</v>
      </c>
      <c r="E3" s="56">
        <v>100</v>
      </c>
      <c r="F3" s="56">
        <v>110</v>
      </c>
      <c r="G3" s="56">
        <v>115</v>
      </c>
      <c r="H3" s="56">
        <v>120</v>
      </c>
      <c r="I3" s="58">
        <v>125</v>
      </c>
      <c r="J3" s="59"/>
      <c r="K3" s="56">
        <v>130</v>
      </c>
      <c r="L3" s="56">
        <v>135</v>
      </c>
      <c r="M3" s="56">
        <v>140</v>
      </c>
      <c r="N3" s="56">
        <v>150</v>
      </c>
      <c r="O3" s="58">
        <v>155</v>
      </c>
      <c r="P3" s="59"/>
      <c r="Q3" s="56">
        <v>160</v>
      </c>
      <c r="R3" s="56">
        <v>165</v>
      </c>
      <c r="S3" s="56">
        <v>175</v>
      </c>
      <c r="T3" s="58">
        <v>185</v>
      </c>
      <c r="U3" s="59"/>
      <c r="V3" s="58">
        <v>205</v>
      </c>
      <c r="W3" s="59"/>
      <c r="X3" s="56">
        <v>210</v>
      </c>
      <c r="Y3" s="56">
        <v>215</v>
      </c>
      <c r="Z3" s="56">
        <v>220</v>
      </c>
    </row>
    <row r="4" spans="2:26">
      <c r="B4" s="7" t="s">
        <v>0</v>
      </c>
      <c r="C4" s="56" t="s">
        <v>253</v>
      </c>
      <c r="D4" s="56" t="s">
        <v>253</v>
      </c>
      <c r="E4" s="56" t="s">
        <v>253</v>
      </c>
      <c r="F4" s="56" t="s">
        <v>253</v>
      </c>
      <c r="G4" s="56" t="s">
        <v>253</v>
      </c>
      <c r="H4" s="56" t="s">
        <v>253</v>
      </c>
      <c r="I4" s="56" t="s">
        <v>261</v>
      </c>
      <c r="J4" s="56" t="s">
        <v>253</v>
      </c>
      <c r="K4" s="56" t="s">
        <v>253</v>
      </c>
      <c r="L4" s="56" t="s">
        <v>253</v>
      </c>
      <c r="M4" s="56" t="s">
        <v>253</v>
      </c>
      <c r="N4" s="56" t="s">
        <v>253</v>
      </c>
      <c r="O4" s="56" t="s">
        <v>261</v>
      </c>
      <c r="P4" s="56" t="s">
        <v>253</v>
      </c>
      <c r="Q4" s="56" t="s">
        <v>253</v>
      </c>
      <c r="R4" s="56" t="s">
        <v>253</v>
      </c>
      <c r="S4" s="56" t="s">
        <v>253</v>
      </c>
      <c r="T4" s="56" t="s">
        <v>261</v>
      </c>
      <c r="U4" s="56" t="s">
        <v>253</v>
      </c>
      <c r="V4" s="56" t="s">
        <v>261</v>
      </c>
      <c r="W4" s="56" t="s">
        <v>253</v>
      </c>
      <c r="X4" s="56" t="s">
        <v>253</v>
      </c>
      <c r="Y4" s="56" t="s">
        <v>253</v>
      </c>
      <c r="Z4" s="56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1250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1100</v>
      </c>
      <c r="E17" s="6"/>
      <c r="F17" s="6"/>
      <c r="G17" s="6">
        <v>300</v>
      </c>
      <c r="H17" s="6"/>
      <c r="I17" s="6">
        <v>650</v>
      </c>
      <c r="J17" s="6">
        <v>600</v>
      </c>
      <c r="K17" s="6"/>
      <c r="L17" s="6"/>
      <c r="M17" s="6">
        <v>600</v>
      </c>
      <c r="N17" s="6"/>
      <c r="O17" s="6">
        <v>800</v>
      </c>
      <c r="P17" s="6">
        <v>0</v>
      </c>
      <c r="Q17" s="6"/>
      <c r="R17" s="6">
        <v>2400</v>
      </c>
      <c r="S17" s="6"/>
      <c r="T17" s="6">
        <v>0</v>
      </c>
      <c r="U17" s="6">
        <v>600</v>
      </c>
      <c r="V17" s="6">
        <v>20</v>
      </c>
      <c r="W17" s="6">
        <v>480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74"/>
  <sheetViews>
    <sheetView zoomScale="150" zoomScaleNormal="150" workbookViewId="0">
      <pane ySplit="5" topLeftCell="A6" activePane="bottomLeft" state="frozen"/>
      <selection pane="bottomLeft" activeCell="H37" sqref="H37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379</v>
      </c>
      <c r="B2" s="38" t="s">
        <v>250</v>
      </c>
      <c r="I2" s="61"/>
      <c r="J2" s="61"/>
      <c r="M2" s="28"/>
      <c r="N2" s="28"/>
      <c r="O2" s="28"/>
      <c r="P2" s="28"/>
    </row>
    <row r="3" spans="1:19" ht="22">
      <c r="I3" s="60"/>
      <c r="J3" s="60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 hidden="1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 hidden="1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>
        <v>120</v>
      </c>
      <c r="I8" s="17">
        <f t="shared" si="1"/>
        <v>480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 hidden="1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 hidden="1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>
        <v>100</v>
      </c>
      <c r="I19" s="17">
        <f t="shared" si="1"/>
        <v>500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600</v>
      </c>
      <c r="I23" s="17">
        <f t="shared" si="1"/>
        <v>0</v>
      </c>
      <c r="J23" s="17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600</v>
      </c>
      <c r="I28" s="17">
        <f t="shared" si="1"/>
        <v>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>
        <v>550</v>
      </c>
      <c r="I29" s="17">
        <f t="shared" si="1"/>
        <v>50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 hidden="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 hidden="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 hidden="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600</v>
      </c>
      <c r="I39" s="17">
        <f t="shared" si="1"/>
        <v>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600</v>
      </c>
      <c r="I42" s="17">
        <f t="shared" si="1"/>
        <v>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 hidden="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 hidden="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 hidden="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 hidden="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 hidden="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 hidden="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 hidden="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 hidden="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 hidden="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 hidden="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 hidden="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 hidden="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 hidden="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 hidden="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 hidden="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 hidden="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 hidden="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 hidden="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 hidden="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 hidden="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 hidden="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 hidden="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 hidden="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 hidden="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 hidden="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 hidden="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 hidden="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 hidden="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 hidden="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 hidden="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 hidden="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 hidden="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 hidden="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 hidden="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 hidden="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 hidden="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 hidden="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 hidden="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 hidden="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 hidden="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 hidden="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 hidden="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 hidden="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 hidden="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 hidden="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 hidden="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 hidden="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 hidden="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 hidden="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 hidden="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 hidden="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 hidden="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 hidden="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 hidden="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 hidden="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 hidden="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 hidden="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 hidden="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 hidden="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 hidden="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 hidden="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 hidden="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 hidden="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 hidden="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 hidden="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 hidden="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 hidden="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 hidden="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 hidden="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 hidden="1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600</v>
      </c>
      <c r="I129" s="17">
        <f t="shared" si="22"/>
        <v>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 hidden="1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 hidden="1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 hidden="1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 hidden="1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 hidden="1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 hidden="1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 hidden="1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 hidden="1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 hidden="1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 hidden="1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 hidden="1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 hidden="1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 hidden="1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 hidden="1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 hidden="1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 hidden="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 hidden="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 hidden="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 hidden="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 hidden="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 hidden="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 hidden="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 hidden="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 hidden="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600</v>
      </c>
      <c r="I153" s="17">
        <f t="shared" si="28"/>
        <v>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 hidden="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 hidden="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>
        <v>600</v>
      </c>
      <c r="I155" s="17">
        <f t="shared" si="28"/>
        <v>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 hidden="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>
        <v>600</v>
      </c>
      <c r="I156" s="17">
        <f t="shared" si="28"/>
        <v>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 hidden="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 hidden="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 t="shared" ref="G158:G163" si="29">F158*E158</f>
        <v>600</v>
      </c>
      <c r="H158" s="17">
        <v>600</v>
      </c>
      <c r="I158" s="17">
        <f t="shared" ref="I158:I163" si="30">G158-H158</f>
        <v>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 hidden="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 t="shared" si="29"/>
        <v>600</v>
      </c>
      <c r="H159" s="17"/>
      <c r="I159" s="17">
        <f t="shared" si="30"/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 hidden="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 t="shared" si="29"/>
        <v>600</v>
      </c>
      <c r="H160" s="17">
        <v>600</v>
      </c>
      <c r="I160" s="17">
        <f t="shared" si="30"/>
        <v>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 hidden="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 t="shared" si="29"/>
        <v>600</v>
      </c>
      <c r="H161" s="17">
        <v>600</v>
      </c>
      <c r="I161" s="17">
        <f t="shared" si="30"/>
        <v>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 hidden="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 t="shared" si="29"/>
        <v>600</v>
      </c>
      <c r="H162" s="17">
        <v>600</v>
      </c>
      <c r="I162" s="17">
        <f t="shared" si="30"/>
        <v>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 hidden="1">
      <c r="A163" s="15" t="s">
        <v>368</v>
      </c>
      <c r="B163" s="16" t="s">
        <v>249</v>
      </c>
      <c r="C163" s="17">
        <v>125</v>
      </c>
      <c r="D163" s="17"/>
      <c r="E163" s="17">
        <v>600</v>
      </c>
      <c r="F163" s="17">
        <v>1</v>
      </c>
      <c r="G163" s="17">
        <f t="shared" si="29"/>
        <v>600</v>
      </c>
      <c r="H163" s="17">
        <v>600</v>
      </c>
      <c r="I163" s="17">
        <f t="shared" si="30"/>
        <v>0</v>
      </c>
      <c r="J163" s="17"/>
      <c r="K163" s="19" t="str">
        <f>CONCATENATE(Table2[[#This Row],[Specs]],Table2[[#This Row],[Width]],Table2[[#This Row],[Slitting]])</f>
        <v>y ユポ80 MDN 8GB125</v>
      </c>
    </row>
    <row r="164" spans="1:11" hidden="1">
      <c r="A164" s="15" t="s">
        <v>368</v>
      </c>
      <c r="B164" s="16" t="s">
        <v>249</v>
      </c>
      <c r="C164" s="17">
        <v>125</v>
      </c>
      <c r="D164" s="17"/>
      <c r="E164" s="17">
        <v>600</v>
      </c>
      <c r="F164" s="17">
        <v>1</v>
      </c>
      <c r="G164" s="17">
        <f t="shared" ref="G164:G172" si="31">F164*E164</f>
        <v>600</v>
      </c>
      <c r="H164" s="17">
        <v>600</v>
      </c>
      <c r="I164" s="17">
        <f t="shared" ref="I164:I172" si="32">G164-H164</f>
        <v>0</v>
      </c>
      <c r="J164" s="17"/>
      <c r="K164" s="19" t="str">
        <f>CONCATENATE(Table2[[#This Row],[Specs]],Table2[[#This Row],[Width]],Table2[[#This Row],[Slitting]])</f>
        <v>y ユポ80 MDN 8GB125</v>
      </c>
    </row>
    <row r="165" spans="1:11" hidden="1">
      <c r="A165" s="15" t="s">
        <v>368</v>
      </c>
      <c r="B165" s="16" t="s">
        <v>249</v>
      </c>
      <c r="C165" s="17">
        <v>140</v>
      </c>
      <c r="D165" s="17"/>
      <c r="E165" s="17">
        <v>600</v>
      </c>
      <c r="F165" s="17">
        <v>1</v>
      </c>
      <c r="G165" s="17">
        <f t="shared" si="31"/>
        <v>600</v>
      </c>
      <c r="H165" s="17"/>
      <c r="I165" s="17">
        <f t="shared" si="32"/>
        <v>600</v>
      </c>
      <c r="J165" s="17"/>
      <c r="K165" s="19" t="str">
        <f>CONCATENATE(Table2[[#This Row],[Specs]],Table2[[#This Row],[Width]],Table2[[#This Row],[Slitting]])</f>
        <v>y ユポ80 MDN 8GB140</v>
      </c>
    </row>
    <row r="166" spans="1:11" hidden="1">
      <c r="A166" s="15" t="s">
        <v>374</v>
      </c>
      <c r="B166" s="16" t="s">
        <v>249</v>
      </c>
      <c r="C166" s="17">
        <v>140</v>
      </c>
      <c r="D166" s="17"/>
      <c r="E166" s="17">
        <v>600</v>
      </c>
      <c r="F166" s="17">
        <v>1</v>
      </c>
      <c r="G166" s="17">
        <f t="shared" si="31"/>
        <v>600</v>
      </c>
      <c r="H166" s="17">
        <v>600</v>
      </c>
      <c r="I166" s="17">
        <f t="shared" si="32"/>
        <v>0</v>
      </c>
      <c r="J166" s="17"/>
      <c r="K166" s="19" t="str">
        <f>CONCATENATE(Table2[[#This Row],[Specs]],Table2[[#This Row],[Width]],Table2[[#This Row],[Slitting]])</f>
        <v>y ユポ80 MDN 8GB140</v>
      </c>
    </row>
    <row r="167" spans="1:11" hidden="1">
      <c r="A167" s="15" t="s">
        <v>374</v>
      </c>
      <c r="B167" s="16" t="s">
        <v>249</v>
      </c>
      <c r="C167" s="17">
        <v>185</v>
      </c>
      <c r="D167" s="17" t="s">
        <v>261</v>
      </c>
      <c r="E167" s="17">
        <v>600</v>
      </c>
      <c r="F167" s="17">
        <v>1</v>
      </c>
      <c r="G167" s="17">
        <f t="shared" si="31"/>
        <v>600</v>
      </c>
      <c r="H167" s="17">
        <v>600</v>
      </c>
      <c r="I167" s="17">
        <f t="shared" si="32"/>
        <v>0</v>
      </c>
      <c r="J167" s="17"/>
      <c r="K167" s="19" t="str">
        <f>CONCATENATE(Table2[[#This Row],[Specs]],Table2[[#This Row],[Width]],Table2[[#This Row],[Slitting]])</f>
        <v>y ユポ80 MDN 8GB185i 一本刃</v>
      </c>
    </row>
    <row r="168" spans="1:11" hidden="1">
      <c r="A168" s="15" t="s">
        <v>376</v>
      </c>
      <c r="B168" s="16" t="s">
        <v>249</v>
      </c>
      <c r="C168" s="17">
        <v>125</v>
      </c>
      <c r="D168" s="17"/>
      <c r="E168" s="17">
        <v>600</v>
      </c>
      <c r="F168" s="17">
        <v>1</v>
      </c>
      <c r="G168" s="17">
        <f t="shared" si="31"/>
        <v>600</v>
      </c>
      <c r="H168" s="17"/>
      <c r="I168" s="17">
        <f t="shared" si="32"/>
        <v>600</v>
      </c>
      <c r="J168" s="17"/>
      <c r="K168" s="19" t="str">
        <f>CONCATENATE(Table2[[#This Row],[Specs]],Table2[[#This Row],[Width]],Table2[[#This Row],[Slitting]])</f>
        <v>y ユポ80 MDN 8GB125</v>
      </c>
    </row>
    <row r="169" spans="1:11" hidden="1">
      <c r="A169" s="15" t="s">
        <v>376</v>
      </c>
      <c r="B169" s="16" t="s">
        <v>249</v>
      </c>
      <c r="C169" s="17">
        <v>165</v>
      </c>
      <c r="D169" s="17"/>
      <c r="E169" s="17">
        <v>600</v>
      </c>
      <c r="F169" s="17">
        <v>1</v>
      </c>
      <c r="G169" s="17">
        <f t="shared" si="31"/>
        <v>600</v>
      </c>
      <c r="H169" s="17"/>
      <c r="I169" s="17">
        <f t="shared" si="32"/>
        <v>600</v>
      </c>
      <c r="J169" s="17"/>
      <c r="K169" s="19" t="str">
        <f>CONCATENATE(Table2[[#This Row],[Specs]],Table2[[#This Row],[Width]],Table2[[#This Row],[Slitting]])</f>
        <v>y ユポ80 MDN 8GB165</v>
      </c>
    </row>
    <row r="170" spans="1:11" hidden="1">
      <c r="A170" s="15" t="s">
        <v>376</v>
      </c>
      <c r="B170" s="16" t="s">
        <v>249</v>
      </c>
      <c r="C170" s="17">
        <v>165</v>
      </c>
      <c r="D170" s="17"/>
      <c r="E170" s="17">
        <v>600</v>
      </c>
      <c r="F170" s="17">
        <v>1</v>
      </c>
      <c r="G170" s="17">
        <f t="shared" si="31"/>
        <v>600</v>
      </c>
      <c r="H170" s="17"/>
      <c r="I170" s="17">
        <f t="shared" si="32"/>
        <v>600</v>
      </c>
      <c r="J170" s="17"/>
      <c r="K170" s="19" t="str">
        <f>CONCATENATE(Table2[[#This Row],[Specs]],Table2[[#This Row],[Width]],Table2[[#This Row],[Slitting]])</f>
        <v>y ユポ80 MDN 8GB165</v>
      </c>
    </row>
    <row r="171" spans="1:11" hidden="1">
      <c r="A171" s="15" t="s">
        <v>376</v>
      </c>
      <c r="B171" s="16" t="s">
        <v>249</v>
      </c>
      <c r="C171" s="17">
        <v>165</v>
      </c>
      <c r="D171" s="17"/>
      <c r="E171" s="17">
        <v>600</v>
      </c>
      <c r="F171" s="17">
        <v>1</v>
      </c>
      <c r="G171" s="17">
        <f t="shared" si="31"/>
        <v>600</v>
      </c>
      <c r="H171" s="17"/>
      <c r="I171" s="17">
        <f t="shared" si="32"/>
        <v>600</v>
      </c>
      <c r="J171" s="17"/>
      <c r="K171" s="19" t="str">
        <f>CONCATENATE(Table2[[#This Row],[Specs]],Table2[[#This Row],[Width]],Table2[[#This Row],[Slitting]])</f>
        <v>y ユポ80 MDN 8GB165</v>
      </c>
    </row>
    <row r="172" spans="1:11" hidden="1">
      <c r="A172" s="15" t="s">
        <v>378</v>
      </c>
      <c r="B172" s="16" t="s">
        <v>257</v>
      </c>
      <c r="C172" s="17">
        <v>160</v>
      </c>
      <c r="D172" s="17"/>
      <c r="E172" s="17">
        <v>600</v>
      </c>
      <c r="F172" s="17">
        <v>1</v>
      </c>
      <c r="G172" s="17">
        <f t="shared" si="31"/>
        <v>600</v>
      </c>
      <c r="H172" s="17"/>
      <c r="I172" s="17">
        <f t="shared" si="32"/>
        <v>600</v>
      </c>
      <c r="J172" s="17"/>
      <c r="K172" s="19" t="str">
        <f>CONCATENATE(Table2[[#This Row],[Specs]],Table2[[#This Row],[Width]],Table2[[#This Row],[Slitting]])</f>
        <v>j 上質&lt;70&gt; ME 7GB160</v>
      </c>
    </row>
    <row r="173" spans="1:11" hidden="1">
      <c r="A173" s="15" t="s">
        <v>378</v>
      </c>
      <c r="B173" s="16" t="s">
        <v>257</v>
      </c>
      <c r="C173" s="17">
        <v>160</v>
      </c>
      <c r="D173" s="17"/>
      <c r="E173" s="17">
        <v>600</v>
      </c>
      <c r="F173" s="17">
        <v>1</v>
      </c>
      <c r="G173" s="17">
        <f>F173*E173</f>
        <v>600</v>
      </c>
      <c r="H173" s="17"/>
      <c r="I173" s="17">
        <f>G173-H173</f>
        <v>600</v>
      </c>
      <c r="J173" s="17"/>
      <c r="K173" s="19" t="str">
        <f>CONCATENATE(Table2[[#This Row],[Specs]],Table2[[#This Row],[Width]],Table2[[#This Row],[Slitting]])</f>
        <v>j 上質&lt;70&gt; ME 7GB160</v>
      </c>
    </row>
    <row r="174" spans="1:11" hidden="1">
      <c r="A174" s="15"/>
      <c r="B174" s="16"/>
      <c r="C174" s="17"/>
      <c r="D174" s="17"/>
      <c r="E174" s="17"/>
      <c r="F174" s="17"/>
      <c r="G174" s="17">
        <f>F174*E174</f>
        <v>0</v>
      </c>
      <c r="H174" s="17"/>
      <c r="I174" s="17">
        <f>G174-H174</f>
        <v>0</v>
      </c>
      <c r="J174" s="17"/>
      <c r="K174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8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44261.360868055555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42</v>
      </c>
      <c r="B44" s="20" t="s">
        <v>22</v>
      </c>
      <c r="C44" s="20">
        <v>271</v>
      </c>
      <c r="D44" s="20" t="s">
        <v>58</v>
      </c>
      <c r="E44" s="20">
        <v>8</v>
      </c>
      <c r="F44" s="23">
        <v>43782</v>
      </c>
      <c r="G44" s="20"/>
      <c r="H44" s="20" t="str">
        <f>CONCATENATE(Table1[[#This Row],[Order Code]],Table1[[#This Row],[NAME]])</f>
        <v>271D-182 青</v>
      </c>
    </row>
    <row r="45" spans="1:8" ht="20">
      <c r="A45" s="22">
        <v>43</v>
      </c>
      <c r="B45" s="20" t="s">
        <v>22</v>
      </c>
      <c r="C45" s="20">
        <v>271</v>
      </c>
      <c r="D45" s="20" t="s">
        <v>59</v>
      </c>
      <c r="E45" s="20">
        <v>9</v>
      </c>
      <c r="F45" s="23">
        <v>43782</v>
      </c>
      <c r="G45" s="20"/>
      <c r="H45" s="20" t="str">
        <f>CONCATENATE(Table1[[#This Row],[Order Code]],Table1[[#This Row],[NAME]])</f>
        <v>271D-99 濃青</v>
      </c>
    </row>
    <row r="46" spans="1:8" ht="20">
      <c r="A46" s="22">
        <v>44</v>
      </c>
      <c r="B46" s="20" t="s">
        <v>22</v>
      </c>
      <c r="C46" s="20">
        <v>271</v>
      </c>
      <c r="D46" s="20" t="s">
        <v>60</v>
      </c>
      <c r="E46" s="20">
        <v>5</v>
      </c>
      <c r="F46" s="23">
        <v>43719</v>
      </c>
      <c r="G46" s="20"/>
      <c r="H46" s="20" t="str">
        <f>CONCATENATE(Table1[[#This Row],[Order Code]],Table1[[#This Row],[NAME]])</f>
        <v>271D-180 青</v>
      </c>
    </row>
    <row r="47" spans="1:8" ht="20">
      <c r="A47" s="22">
        <v>45</v>
      </c>
      <c r="B47" s="20" t="s">
        <v>22</v>
      </c>
      <c r="C47" s="20">
        <v>261</v>
      </c>
      <c r="D47" s="20" t="s">
        <v>61</v>
      </c>
      <c r="E47" s="20">
        <v>6</v>
      </c>
      <c r="F47" s="23">
        <v>42713</v>
      </c>
      <c r="G47" s="20"/>
      <c r="H47" s="20" t="str">
        <f>CONCATENATE(Table1[[#This Row],[Order Code]],Table1[[#This Row],[NAME]])</f>
        <v>261D-2166 青(コート)</v>
      </c>
    </row>
    <row r="48" spans="1:8" ht="20">
      <c r="A48" s="22">
        <v>46</v>
      </c>
      <c r="B48" s="20" t="s">
        <v>22</v>
      </c>
      <c r="C48" s="20">
        <v>261</v>
      </c>
      <c r="D48" s="20" t="s">
        <v>62</v>
      </c>
      <c r="E48" s="20">
        <v>4</v>
      </c>
      <c r="F48" s="23">
        <v>43602</v>
      </c>
      <c r="G48" s="20"/>
      <c r="H48" s="20" t="str">
        <f>CONCATENATE(Table1[[#This Row],[Order Code]],Table1[[#This Row],[NAME]])</f>
        <v>261ケアウォッシュ(17KG) 青</v>
      </c>
    </row>
    <row r="49" spans="1:8" ht="20">
      <c r="A49" s="22">
        <v>47</v>
      </c>
      <c r="B49" s="20" t="s">
        <v>22</v>
      </c>
      <c r="C49" s="20">
        <v>261</v>
      </c>
      <c r="D49" s="20" t="s">
        <v>63</v>
      </c>
      <c r="E49" s="20">
        <v>6</v>
      </c>
      <c r="F49" s="23">
        <v>43272</v>
      </c>
      <c r="G49" s="20"/>
      <c r="H49" s="20" t="str">
        <f>CONCATENATE(Table1[[#This Row],[Order Code]],Table1[[#This Row],[NAME]])</f>
        <v>261D-2167 水色</v>
      </c>
    </row>
    <row r="50" spans="1:8" ht="20">
      <c r="A50" s="22">
        <v>48</v>
      </c>
      <c r="B50" s="20" t="s">
        <v>22</v>
      </c>
      <c r="C50" s="20">
        <v>251</v>
      </c>
      <c r="D50" s="20" t="s">
        <v>64</v>
      </c>
      <c r="E50" s="20">
        <v>8</v>
      </c>
      <c r="F50" s="23">
        <v>43886</v>
      </c>
      <c r="G50" s="20">
        <v>1</v>
      </c>
      <c r="H50" s="20" t="str">
        <f>CONCATENATE(Table1[[#This Row],[Order Code]],Table1[[#This Row],[NAME]])</f>
        <v>251ハナビアンVS150 水色</v>
      </c>
    </row>
    <row r="51" spans="1:8" ht="20">
      <c r="A51" s="22">
        <v>49</v>
      </c>
      <c r="B51" s="20" t="s">
        <v>22</v>
      </c>
      <c r="C51" s="20">
        <v>251</v>
      </c>
      <c r="D51" s="20" t="s">
        <v>61</v>
      </c>
      <c r="E51" s="20">
        <v>8</v>
      </c>
      <c r="F51" s="23">
        <v>43648</v>
      </c>
      <c r="G51" s="20"/>
      <c r="H51" s="20" t="str">
        <f>CONCATENATE(Table1[[#This Row],[Order Code]],Table1[[#This Row],[NAME]])</f>
        <v>251D-2166 青(コート)</v>
      </c>
    </row>
    <row r="52" spans="1:8" ht="20">
      <c r="A52" s="22">
        <v>50</v>
      </c>
      <c r="B52" s="20" t="s">
        <v>22</v>
      </c>
      <c r="C52" s="20">
        <v>222</v>
      </c>
      <c r="D52" s="20" t="s">
        <v>65</v>
      </c>
      <c r="E52" s="20">
        <v>5</v>
      </c>
      <c r="F52" s="23">
        <v>43602</v>
      </c>
      <c r="G52" s="20"/>
      <c r="H52" s="20" t="str">
        <f>CONCATENATE(Table1[[#This Row],[Order Code]],Table1[[#This Row],[NAME]])</f>
        <v>222D-641 青(コート)</v>
      </c>
    </row>
    <row r="53" spans="1:8" ht="20">
      <c r="A53" s="22">
        <v>51</v>
      </c>
      <c r="B53" s="20" t="s">
        <v>22</v>
      </c>
      <c r="C53" s="20">
        <v>241</v>
      </c>
      <c r="D53" s="20" t="s">
        <v>66</v>
      </c>
      <c r="E53" s="20">
        <v>6</v>
      </c>
      <c r="F53" s="23">
        <v>43081</v>
      </c>
      <c r="G53" s="20"/>
      <c r="H53" s="20" t="str">
        <f>CONCATENATE(Table1[[#This Row],[Order Code]],Table1[[#This Row],[NAME]])</f>
        <v>241D-2167 水色(コート)</v>
      </c>
    </row>
    <row r="54" spans="1:8" ht="20">
      <c r="A54" s="22">
        <v>52</v>
      </c>
      <c r="B54" s="20" t="s">
        <v>22</v>
      </c>
      <c r="C54" s="20">
        <v>241</v>
      </c>
      <c r="D54" s="20" t="s">
        <v>67</v>
      </c>
      <c r="E54" s="20">
        <v>4</v>
      </c>
      <c r="F54" s="23">
        <v>42807</v>
      </c>
      <c r="G54" s="20"/>
      <c r="H54" s="20" t="str">
        <f>CONCATENATE(Table1[[#This Row],[Order Code]],Table1[[#This Row],[NAME]])</f>
        <v>241D-2177 青(コート)</v>
      </c>
    </row>
    <row r="55" spans="1:8" ht="20">
      <c r="A55" s="22">
        <v>53</v>
      </c>
      <c r="B55" s="20" t="s">
        <v>22</v>
      </c>
      <c r="C55" s="20">
        <v>241</v>
      </c>
      <c r="D55" s="20" t="s">
        <v>68</v>
      </c>
      <c r="E55" s="20">
        <v>6</v>
      </c>
      <c r="F55" s="23">
        <v>43811</v>
      </c>
      <c r="G55" s="20">
        <v>1</v>
      </c>
      <c r="H55" s="20" t="str">
        <f>CONCATENATE(Table1[[#This Row],[Order Code]],Table1[[#This Row],[NAME]])</f>
        <v>241D-178 浅葱</v>
      </c>
    </row>
    <row r="56" spans="1:8" ht="20">
      <c r="A56" s="22">
        <v>54</v>
      </c>
      <c r="B56" s="20" t="s">
        <v>22</v>
      </c>
      <c r="C56" s="20">
        <v>231</v>
      </c>
      <c r="D56" s="20" t="s">
        <v>69</v>
      </c>
      <c r="E56" s="20">
        <v>5</v>
      </c>
      <c r="F56" s="23">
        <v>43746</v>
      </c>
      <c r="G56" s="20"/>
      <c r="H56" s="20" t="str">
        <f>CONCATENATE(Table1[[#This Row],[Order Code]],Table1[[#This Row],[NAME]])</f>
        <v>231D-140 青</v>
      </c>
    </row>
    <row r="57" spans="1:8" ht="20">
      <c r="A57" s="22">
        <v>55</v>
      </c>
      <c r="B57" s="20" t="s">
        <v>22</v>
      </c>
      <c r="C57" s="20">
        <v>231</v>
      </c>
      <c r="D57" s="20" t="s">
        <v>69</v>
      </c>
      <c r="E57" s="20">
        <v>5</v>
      </c>
      <c r="F57" s="20" t="s">
        <v>57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56</v>
      </c>
      <c r="B58" s="20" t="s">
        <v>22</v>
      </c>
      <c r="C58" s="20">
        <v>231</v>
      </c>
      <c r="D58" s="20" t="s">
        <v>70</v>
      </c>
      <c r="E58" s="20">
        <v>5</v>
      </c>
      <c r="F58" s="23">
        <v>43796</v>
      </c>
      <c r="G58" s="20">
        <v>1</v>
      </c>
      <c r="H58" s="20" t="str">
        <f>CONCATENATE(Table1[[#This Row],[Order Code]],Table1[[#This Row],[NAME]])</f>
        <v>231P-2726C 青</v>
      </c>
    </row>
    <row r="59" spans="1:8" ht="20">
      <c r="A59" s="22">
        <v>57</v>
      </c>
      <c r="B59" s="20" t="s">
        <v>22</v>
      </c>
      <c r="C59" s="20">
        <v>201</v>
      </c>
      <c r="D59" s="20" t="s">
        <v>235</v>
      </c>
      <c r="E59" s="20">
        <v>8</v>
      </c>
      <c r="F59" s="23">
        <v>43861</v>
      </c>
      <c r="G59" s="20">
        <v>1</v>
      </c>
      <c r="H59" s="20" t="str">
        <f>CONCATENATE(Table1[[#This Row],[Order Code]],Table1[[#This Row],[NAME]])</f>
        <v>201ユタカ花粉ホコリ　青</v>
      </c>
    </row>
    <row r="60" spans="1:8" ht="20">
      <c r="A60" s="22">
        <v>58</v>
      </c>
      <c r="B60" s="20" t="s">
        <v>22</v>
      </c>
      <c r="C60" s="24">
        <v>221</v>
      </c>
      <c r="D60" s="20" t="s">
        <v>72</v>
      </c>
      <c r="E60" s="20">
        <v>3</v>
      </c>
      <c r="F60" s="23">
        <v>43573</v>
      </c>
      <c r="G60" s="20">
        <v>1</v>
      </c>
      <c r="H60" s="20" t="str">
        <f>CONCATENATE(Table1[[#This Row],[Order Code]],Table1[[#This Row],[NAME]])</f>
        <v>221サンフレンド　青</v>
      </c>
    </row>
    <row r="61" spans="1:8" ht="20">
      <c r="A61" s="22">
        <v>59</v>
      </c>
      <c r="B61" s="20" t="s">
        <v>22</v>
      </c>
      <c r="C61" s="24">
        <v>221</v>
      </c>
      <c r="D61" s="20" t="s">
        <v>73</v>
      </c>
      <c r="E61" s="20">
        <v>8</v>
      </c>
      <c r="F61" s="23">
        <v>43602</v>
      </c>
      <c r="G61" s="20"/>
      <c r="H61" s="20" t="str">
        <f>CONCATENATE(Table1[[#This Row],[Order Code]],Table1[[#This Row],[NAME]])</f>
        <v>221エコスマイル BO（10KG）青</v>
      </c>
    </row>
    <row r="62" spans="1:8" ht="20">
      <c r="A62" s="22">
        <v>60</v>
      </c>
      <c r="B62" s="20" t="s">
        <v>22</v>
      </c>
      <c r="C62" s="24">
        <v>222</v>
      </c>
      <c r="D62" s="20" t="s">
        <v>74</v>
      </c>
      <c r="E62" s="20">
        <v>8</v>
      </c>
      <c r="F62" s="23">
        <v>43844</v>
      </c>
      <c r="G62" s="20">
        <v>1</v>
      </c>
      <c r="H62" s="20" t="str">
        <f>CONCATENATE(Table1[[#This Row],[Order Code]],Table1[[#This Row],[NAME]])</f>
        <v>222愛育病院内用薬　青</v>
      </c>
    </row>
    <row r="63" spans="1:8" ht="20">
      <c r="A63" s="22">
        <v>61</v>
      </c>
      <c r="B63" s="20" t="s">
        <v>22</v>
      </c>
      <c r="C63" s="24">
        <v>211</v>
      </c>
      <c r="D63" s="20" t="s">
        <v>75</v>
      </c>
      <c r="E63" s="20">
        <v>8</v>
      </c>
      <c r="F63" s="23">
        <v>43787</v>
      </c>
      <c r="G63" s="20">
        <v>1</v>
      </c>
      <c r="H63" s="20" t="str">
        <f>CONCATENATE(Table1[[#This Row],[Order Code]],Table1[[#This Row],[NAME]])</f>
        <v>211テクノクリアN5L 水色</v>
      </c>
    </row>
    <row r="64" spans="1:8" ht="20">
      <c r="A64" s="22">
        <v>62</v>
      </c>
      <c r="B64" s="20" t="s">
        <v>22</v>
      </c>
      <c r="C64" s="24">
        <v>211</v>
      </c>
      <c r="D64" s="20" t="s">
        <v>76</v>
      </c>
      <c r="E64" s="20">
        <v>5</v>
      </c>
      <c r="F64" s="23">
        <v>43580</v>
      </c>
      <c r="G64" s="20">
        <v>1</v>
      </c>
      <c r="H64" s="20" t="str">
        <f>CONCATENATE(Table1[[#This Row],[Order Code]],Table1[[#This Row],[NAME]])</f>
        <v>211ドライスター　青</v>
      </c>
    </row>
    <row r="65" spans="1:8" ht="20">
      <c r="A65" s="22">
        <v>63</v>
      </c>
      <c r="B65" s="20" t="s">
        <v>22</v>
      </c>
      <c r="C65" s="20">
        <v>221</v>
      </c>
      <c r="D65" s="20" t="s">
        <v>77</v>
      </c>
      <c r="E65" s="20">
        <v>8</v>
      </c>
      <c r="F65" s="23">
        <v>43573</v>
      </c>
      <c r="G65" s="20">
        <v>1</v>
      </c>
      <c r="H65" s="20" t="str">
        <f>CONCATENATE(Table1[[#This Row],[Order Code]],Table1[[#This Row],[NAME]])</f>
        <v>221サンフレンド 青</v>
      </c>
    </row>
    <row r="66" spans="1:8" ht="20">
      <c r="A66" s="22">
        <v>64</v>
      </c>
      <c r="B66" s="20" t="s">
        <v>22</v>
      </c>
      <c r="C66" s="24">
        <v>201</v>
      </c>
      <c r="D66" s="20" t="s">
        <v>78</v>
      </c>
      <c r="E66" s="20">
        <v>8</v>
      </c>
      <c r="F66" s="23">
        <v>43605</v>
      </c>
      <c r="G66" s="20">
        <v>1</v>
      </c>
      <c r="H66" s="20" t="str">
        <f>CONCATENATE(Table1[[#This Row],[Order Code]],Table1[[#This Row],[NAME]])</f>
        <v>201WASHハウスソープ</v>
      </c>
    </row>
    <row r="67" spans="1:8" ht="20">
      <c r="A67" s="22">
        <v>65</v>
      </c>
      <c r="B67" s="20" t="s">
        <v>22</v>
      </c>
      <c r="C67" s="24">
        <v>201</v>
      </c>
      <c r="D67" s="20" t="s">
        <v>79</v>
      </c>
      <c r="E67" s="20">
        <v>5</v>
      </c>
      <c r="F67" s="23">
        <v>43720</v>
      </c>
      <c r="G67" s="20">
        <v>1</v>
      </c>
      <c r="H67" s="20" t="str">
        <f>CONCATENATE(Table1[[#This Row],[Order Code]],Table1[[#This Row],[NAME]])</f>
        <v>201サンレックス3.5 青</v>
      </c>
    </row>
    <row r="68" spans="1:8" ht="20">
      <c r="A68" s="22">
        <v>67</v>
      </c>
      <c r="B68" s="20" t="s">
        <v>22</v>
      </c>
      <c r="C68" s="20">
        <v>1101</v>
      </c>
      <c r="D68" s="20" t="s">
        <v>80</v>
      </c>
      <c r="E68" s="20">
        <v>10</v>
      </c>
      <c r="F68" s="23">
        <v>43563</v>
      </c>
      <c r="G68" s="20">
        <v>1</v>
      </c>
      <c r="H68" s="20" t="str">
        <f>CONCATENATE(Table1[[#This Row],[Order Code]],Table1[[#This Row],[NAME]])</f>
        <v>1101D-156 赤</v>
      </c>
    </row>
    <row r="69" spans="1:8" ht="20">
      <c r="A69" s="22">
        <v>68</v>
      </c>
      <c r="B69" s="20" t="s">
        <v>22</v>
      </c>
      <c r="C69" s="20">
        <v>1101</v>
      </c>
      <c r="D69" s="20" t="s">
        <v>81</v>
      </c>
      <c r="E69" s="20">
        <v>10</v>
      </c>
      <c r="F69" s="23">
        <v>43742</v>
      </c>
      <c r="G69" s="20">
        <v>1</v>
      </c>
      <c r="H69" s="20" t="str">
        <f>CONCATENATE(Table1[[#This Row],[Order Code]],Table1[[#This Row],[NAME]])</f>
        <v>1101ロイヤルソフター  赤</v>
      </c>
    </row>
    <row r="70" spans="1:8" ht="20">
      <c r="A70" s="22">
        <v>69</v>
      </c>
      <c r="B70" s="20" t="s">
        <v>22</v>
      </c>
      <c r="C70" s="20">
        <v>1101</v>
      </c>
      <c r="D70" s="20" t="s">
        <v>82</v>
      </c>
      <c r="E70" s="20">
        <v>10</v>
      </c>
      <c r="F70" s="23">
        <v>43756</v>
      </c>
      <c r="G70" s="20">
        <v>1</v>
      </c>
      <c r="H70" s="20" t="str">
        <f>CONCATENATE(Table1[[#This Row],[Order Code]],Table1[[#This Row],[NAME]])</f>
        <v>1101ニッカサンブリーチ　赤</v>
      </c>
    </row>
    <row r="71" spans="1:8" ht="20">
      <c r="A71" s="22">
        <v>70</v>
      </c>
      <c r="B71" s="20" t="s">
        <v>22</v>
      </c>
      <c r="C71" s="20">
        <v>231</v>
      </c>
      <c r="D71" s="20" t="s">
        <v>80</v>
      </c>
      <c r="E71" s="20">
        <v>10</v>
      </c>
      <c r="F71" s="23">
        <v>43742</v>
      </c>
      <c r="G71" s="20">
        <v>1</v>
      </c>
      <c r="H71" s="20" t="str">
        <f>CONCATENATE(Table1[[#This Row],[Order Code]],Table1[[#This Row],[NAME]])</f>
        <v>231D-156 赤</v>
      </c>
    </row>
    <row r="72" spans="1:8" ht="20">
      <c r="A72" s="22">
        <v>71</v>
      </c>
      <c r="B72" s="20" t="s">
        <v>22</v>
      </c>
      <c r="C72" s="20">
        <v>191</v>
      </c>
      <c r="D72" s="20" t="s">
        <v>28</v>
      </c>
      <c r="E72" s="20">
        <v>10</v>
      </c>
      <c r="F72" s="23">
        <v>43307</v>
      </c>
      <c r="G72" s="20">
        <v>1</v>
      </c>
      <c r="H72" s="20" t="str">
        <f>CONCATENATE(Table1[[#This Row],[Order Code]],Table1[[#This Row],[NAME]])</f>
        <v>191D-49 濃ピンク</v>
      </c>
    </row>
    <row r="73" spans="1:8" ht="20">
      <c r="A73" s="22">
        <v>72</v>
      </c>
      <c r="B73" s="20" t="s">
        <v>22</v>
      </c>
      <c r="C73" s="20">
        <v>191</v>
      </c>
      <c r="D73" s="20" t="s">
        <v>83</v>
      </c>
      <c r="E73" s="20">
        <v>10</v>
      </c>
      <c r="F73" s="23">
        <v>43746</v>
      </c>
      <c r="G73" s="20"/>
      <c r="H73" s="20" t="str">
        <f>CONCATENATE(Table1[[#This Row],[Order Code]],Table1[[#This Row],[NAME]])</f>
        <v>191D-24 ピンク</v>
      </c>
    </row>
    <row r="74" spans="1:8" ht="20">
      <c r="A74" s="22">
        <v>73</v>
      </c>
      <c r="B74" s="20" t="s">
        <v>22</v>
      </c>
      <c r="C74" s="20">
        <v>191</v>
      </c>
      <c r="D74" s="44" t="s">
        <v>84</v>
      </c>
      <c r="E74" s="20">
        <v>0</v>
      </c>
      <c r="F74" s="23">
        <v>43755</v>
      </c>
      <c r="G74" s="20"/>
      <c r="H74" s="20" t="str">
        <f>CONCATENATE(Table1[[#This Row],[Order Code]],Table1[[#This Row],[NAME]])</f>
        <v>191墨S</v>
      </c>
    </row>
    <row r="75" spans="1:8" ht="20">
      <c r="A75" s="22">
        <v>74</v>
      </c>
      <c r="B75" s="20" t="s">
        <v>22</v>
      </c>
      <c r="C75" s="20">
        <v>181</v>
      </c>
      <c r="D75" s="20" t="s">
        <v>85</v>
      </c>
      <c r="E75" s="20">
        <v>10</v>
      </c>
      <c r="F75" s="23">
        <v>43812</v>
      </c>
      <c r="G75" s="20">
        <v>1</v>
      </c>
      <c r="H75" s="20" t="str">
        <f>CONCATENATE(Table1[[#This Row],[Order Code]],Table1[[#This Row],[NAME]])</f>
        <v>181ユタカ500265 ピンク</v>
      </c>
    </row>
    <row r="76" spans="1:8" ht="20">
      <c r="A76" s="22">
        <v>75</v>
      </c>
      <c r="B76" s="20" t="s">
        <v>22</v>
      </c>
      <c r="C76" s="20">
        <v>171</v>
      </c>
      <c r="D76" s="20" t="s">
        <v>44</v>
      </c>
      <c r="E76" s="20">
        <v>10</v>
      </c>
      <c r="F76" s="23">
        <v>43697</v>
      </c>
      <c r="G76" s="20"/>
      <c r="H76" s="20" t="str">
        <f>CONCATENATE(Table1[[#This Row],[Order Code]],Table1[[#This Row],[NAME]])</f>
        <v>171ドライバリガードオレンジ</v>
      </c>
    </row>
    <row r="77" spans="1:8" ht="20">
      <c r="A77" s="22">
        <v>76</v>
      </c>
      <c r="B77" s="20" t="s">
        <v>22</v>
      </c>
      <c r="C77" s="20">
        <v>171</v>
      </c>
      <c r="D77" s="20" t="s">
        <v>86</v>
      </c>
      <c r="E77" s="20">
        <v>10</v>
      </c>
      <c r="F77" s="23">
        <v>43340</v>
      </c>
      <c r="G77" s="20"/>
      <c r="H77" s="20" t="str">
        <f>CONCATENATE(Table1[[#This Row],[Order Code]],Table1[[#This Row],[NAME]])</f>
        <v>171D-82 オレンジ</v>
      </c>
    </row>
    <row r="78" spans="1:8" ht="20">
      <c r="A78" s="22">
        <v>77</v>
      </c>
      <c r="B78" s="20" t="s">
        <v>22</v>
      </c>
      <c r="C78" s="20">
        <v>161</v>
      </c>
      <c r="D78" s="20" t="s">
        <v>87</v>
      </c>
      <c r="E78" s="20">
        <v>10</v>
      </c>
      <c r="F78" s="23">
        <v>43697</v>
      </c>
      <c r="G78" s="20">
        <v>1</v>
      </c>
      <c r="H78" s="20" t="str">
        <f>CONCATENATE(Table1[[#This Row],[Order Code]],Table1[[#This Row],[NAME]])</f>
        <v>161ドライスター　黄</v>
      </c>
    </row>
    <row r="79" spans="1:8" ht="20">
      <c r="A79" s="22">
        <v>78</v>
      </c>
      <c r="B79" s="20" t="s">
        <v>22</v>
      </c>
      <c r="C79" s="20">
        <v>161</v>
      </c>
      <c r="D79" s="20" t="s">
        <v>88</v>
      </c>
      <c r="E79" s="20">
        <v>10</v>
      </c>
      <c r="F79" s="23">
        <v>43756</v>
      </c>
      <c r="G79" s="20">
        <v>1</v>
      </c>
      <c r="H79" s="20" t="str">
        <f>CONCATENATE(Table1[[#This Row],[Order Code]],Table1[[#This Row],[NAME]])</f>
        <v>161ニッカサンブリーチ 黄</v>
      </c>
    </row>
    <row r="80" spans="1:8" ht="20">
      <c r="A80" s="22">
        <v>79</v>
      </c>
      <c r="B80" s="20" t="s">
        <v>22</v>
      </c>
      <c r="C80" s="20">
        <v>151</v>
      </c>
      <c r="D80" s="20" t="s">
        <v>89</v>
      </c>
      <c r="E80" s="20">
        <v>10</v>
      </c>
      <c r="F80" s="23">
        <v>43880</v>
      </c>
      <c r="G80" s="20">
        <v>1</v>
      </c>
      <c r="H80" s="20" t="str">
        <f>CONCATENATE(Table1[[#This Row],[Order Code]],Table1[[#This Row],[NAME]])</f>
        <v>151ルピランソープ　緑</v>
      </c>
    </row>
    <row r="81" spans="1:8" ht="20">
      <c r="A81" s="22">
        <v>80</v>
      </c>
      <c r="B81" s="20" t="s">
        <v>22</v>
      </c>
      <c r="C81" s="20">
        <v>151</v>
      </c>
      <c r="D81" s="20" t="s">
        <v>90</v>
      </c>
      <c r="E81" s="20">
        <v>10</v>
      </c>
      <c r="F81" s="23">
        <v>43573</v>
      </c>
      <c r="G81" s="20"/>
      <c r="H81" s="20" t="str">
        <f>CONCATENATE(Table1[[#This Row],[Order Code]],Table1[[#This Row],[NAME]])</f>
        <v>151オーリス　緑</v>
      </c>
    </row>
    <row r="82" spans="1:8" ht="20">
      <c r="A82" s="22">
        <v>81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82</v>
      </c>
      <c r="B83" s="20" t="s">
        <v>22</v>
      </c>
      <c r="C83" s="20">
        <v>141</v>
      </c>
      <c r="D83" s="20" t="s">
        <v>91</v>
      </c>
      <c r="E83" s="20">
        <v>10</v>
      </c>
      <c r="F83" s="23">
        <v>43742</v>
      </c>
      <c r="G83" s="20"/>
      <c r="H83" s="20" t="str">
        <f>CONCATENATE(Table1[[#This Row],[Order Code]],Table1[[#This Row],[NAME]])</f>
        <v>141D-2650 緑</v>
      </c>
    </row>
    <row r="84" spans="1:8" ht="20">
      <c r="A84" s="22">
        <v>83</v>
      </c>
      <c r="B84" s="20" t="s">
        <v>22</v>
      </c>
      <c r="C84" s="20">
        <v>141</v>
      </c>
      <c r="D84" s="20" t="s">
        <v>92</v>
      </c>
      <c r="E84" s="20">
        <v>10</v>
      </c>
      <c r="F84" s="23">
        <v>43805</v>
      </c>
      <c r="G84" s="20">
        <v>1</v>
      </c>
      <c r="H84" s="20" t="str">
        <f>CONCATENATE(Table1[[#This Row],[Order Code]],Table1[[#This Row],[NAME]])</f>
        <v>141ELP 緑</v>
      </c>
    </row>
    <row r="85" spans="1:8" ht="20">
      <c r="A85" s="22">
        <v>84</v>
      </c>
      <c r="B85" s="20" t="s">
        <v>22</v>
      </c>
      <c r="C85" s="20">
        <v>141</v>
      </c>
      <c r="D85" s="20" t="s">
        <v>93</v>
      </c>
      <c r="E85" s="20">
        <v>10</v>
      </c>
      <c r="F85" s="23">
        <v>43669</v>
      </c>
      <c r="G85" s="20">
        <v>1</v>
      </c>
      <c r="H85" s="20" t="str">
        <f>CONCATENATE(Table1[[#This Row],[Order Code]],Table1[[#This Row],[NAME]])</f>
        <v>141D-638 緑</v>
      </c>
    </row>
    <row r="86" spans="1:8" ht="20">
      <c r="A86" s="22">
        <v>85</v>
      </c>
      <c r="B86" s="20" t="s">
        <v>22</v>
      </c>
      <c r="C86" s="20">
        <v>222</v>
      </c>
      <c r="D86" s="20" t="s">
        <v>69</v>
      </c>
      <c r="E86" s="20">
        <v>9</v>
      </c>
      <c r="F86" s="23">
        <v>43616</v>
      </c>
      <c r="G86" s="20"/>
      <c r="H86" s="20" t="str">
        <f>CONCATENATE(Table1[[#This Row],[Order Code]],Table1[[#This Row],[NAME]])</f>
        <v>222D-140 青</v>
      </c>
    </row>
    <row r="87" spans="1:8" ht="20">
      <c r="A87" s="22">
        <v>86</v>
      </c>
      <c r="B87" s="20" t="s">
        <v>22</v>
      </c>
      <c r="C87" s="20">
        <v>131</v>
      </c>
      <c r="D87" s="20" t="s">
        <v>65</v>
      </c>
      <c r="E87" s="20">
        <v>10</v>
      </c>
      <c r="F87" s="23">
        <v>43748</v>
      </c>
      <c r="G87" s="20"/>
      <c r="H87" s="20" t="str">
        <f>CONCATENATE(Table1[[#This Row],[Order Code]],Table1[[#This Row],[NAME]])</f>
        <v>131D-641 青(コート)</v>
      </c>
    </row>
    <row r="88" spans="1:8" ht="20">
      <c r="A88" s="22">
        <v>87</v>
      </c>
      <c r="B88" s="20" t="s">
        <v>22</v>
      </c>
      <c r="C88" s="20">
        <v>121</v>
      </c>
      <c r="D88" s="20" t="s">
        <v>67</v>
      </c>
      <c r="E88" s="20">
        <v>10</v>
      </c>
      <c r="F88" s="23">
        <v>43081</v>
      </c>
      <c r="G88" s="20"/>
      <c r="H88" s="20" t="str">
        <f>CONCATENATE(Table1[[#This Row],[Order Code]],Table1[[#This Row],[NAME]])</f>
        <v>121D-2177 青(コート)</v>
      </c>
    </row>
    <row r="89" spans="1:8" ht="20">
      <c r="A89" s="22">
        <v>88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43188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89</v>
      </c>
      <c r="B90" s="20" t="s">
        <v>22</v>
      </c>
      <c r="C90" s="20">
        <v>111</v>
      </c>
      <c r="D90" s="20" t="s">
        <v>94</v>
      </c>
      <c r="E90" s="20">
        <v>10</v>
      </c>
      <c r="F90" s="23">
        <v>43573</v>
      </c>
      <c r="G90" s="20">
        <v>1</v>
      </c>
      <c r="H90" s="20" t="str">
        <f>CONCATENATE(Table1[[#This Row],[Order Code]],Table1[[#This Row],[NAME]])</f>
        <v>111イスタポール　青</v>
      </c>
    </row>
    <row r="91" spans="1:8" ht="20">
      <c r="A91" s="22">
        <v>90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91</v>
      </c>
      <c r="B92" s="20" t="s">
        <v>22</v>
      </c>
      <c r="C92" s="20">
        <v>111</v>
      </c>
      <c r="D92" s="20" t="s">
        <v>95</v>
      </c>
      <c r="E92" s="20">
        <v>10</v>
      </c>
      <c r="F92" s="23">
        <v>43697</v>
      </c>
      <c r="G92" s="20"/>
      <c r="H92" s="20" t="str">
        <f>CONCATENATE(Table1[[#This Row],[Order Code]],Table1[[#This Row],[NAME]])</f>
        <v>111ドライイスター　青</v>
      </c>
    </row>
    <row r="93" spans="1:8" ht="20">
      <c r="A93" s="22">
        <v>92</v>
      </c>
      <c r="B93" s="20" t="s">
        <v>22</v>
      </c>
      <c r="C93" s="20">
        <v>242</v>
      </c>
      <c r="D93" s="20" t="s">
        <v>96</v>
      </c>
      <c r="E93" s="20">
        <v>10</v>
      </c>
      <c r="F93" s="23">
        <v>43770</v>
      </c>
      <c r="G93" s="20">
        <v>1</v>
      </c>
      <c r="H93" s="20" t="str">
        <f>CONCATENATE(Table1[[#This Row],[Order Code]],Table1[[#This Row],[NAME]])</f>
        <v>242ユタカ　浅葱</v>
      </c>
    </row>
    <row r="94" spans="1:8" ht="20">
      <c r="A94" s="22">
        <v>93</v>
      </c>
      <c r="B94" s="20" t="s">
        <v>22</v>
      </c>
      <c r="C94" s="20">
        <v>101</v>
      </c>
      <c r="D94" s="20" t="s">
        <v>97</v>
      </c>
      <c r="E94" s="20">
        <v>10</v>
      </c>
      <c r="F94" s="23">
        <v>43612</v>
      </c>
      <c r="G94" s="20"/>
      <c r="H94" s="20" t="str">
        <f>CONCATENATE(Table1[[#This Row],[Order Code]],Table1[[#This Row],[NAME]])</f>
        <v>101STERISH N104(4L）　青</v>
      </c>
    </row>
    <row r="95" spans="1:8" ht="20">
      <c r="A95" s="22">
        <v>94</v>
      </c>
      <c r="B95" s="20" t="s">
        <v>22</v>
      </c>
      <c r="C95" s="20">
        <v>101</v>
      </c>
      <c r="D95" s="20" t="s">
        <v>98</v>
      </c>
      <c r="E95" s="20">
        <v>10</v>
      </c>
      <c r="F95" s="23">
        <v>43746</v>
      </c>
      <c r="G95" s="20">
        <v>1</v>
      </c>
      <c r="H95" s="20" t="str">
        <f>CONCATENATE(Table1[[#This Row],[Order Code]],Table1[[#This Row],[NAME]])</f>
        <v>101WASH ハウスソープ　青</v>
      </c>
    </row>
    <row r="96" spans="1:8" ht="20">
      <c r="A96" s="22">
        <v>95</v>
      </c>
      <c r="B96" s="20" t="s">
        <v>22</v>
      </c>
      <c r="C96" s="20">
        <v>101</v>
      </c>
      <c r="D96" s="20" t="s">
        <v>99</v>
      </c>
      <c r="E96" s="20">
        <v>10</v>
      </c>
      <c r="F96" s="23">
        <v>43746</v>
      </c>
      <c r="G96" s="20"/>
      <c r="H96" s="20" t="str">
        <f>CONCATENATE(Table1[[#This Row],[Order Code]],Table1[[#This Row],[NAME]])</f>
        <v>101D-222 紺</v>
      </c>
    </row>
    <row r="97" spans="1:8" ht="20">
      <c r="A97" s="22">
        <v>97</v>
      </c>
      <c r="B97" s="20" t="s">
        <v>22</v>
      </c>
      <c r="C97" s="20">
        <v>303</v>
      </c>
      <c r="D97" s="20" t="s">
        <v>100</v>
      </c>
      <c r="E97" s="20">
        <v>6</v>
      </c>
      <c r="F97" s="23">
        <v>43626</v>
      </c>
      <c r="G97" s="20"/>
      <c r="H97" s="20" t="str">
        <f>CONCATENATE(Table1[[#This Row],[Order Code]],Table1[[#This Row],[NAME]])</f>
        <v>303ユタカ　オレンジ</v>
      </c>
    </row>
    <row r="98" spans="1:8" ht="20">
      <c r="A98" s="22">
        <v>98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43151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99</v>
      </c>
      <c r="B99" s="20" t="s">
        <v>22</v>
      </c>
      <c r="C99" s="20">
        <v>301</v>
      </c>
      <c r="D99" s="20" t="s">
        <v>49</v>
      </c>
      <c r="E99" s="20">
        <v>8</v>
      </c>
      <c r="F99" s="23">
        <v>43634</v>
      </c>
      <c r="G99" s="20">
        <v>1</v>
      </c>
      <c r="H99" s="20" t="str">
        <f>CONCATENATE(Table1[[#This Row],[Order Code]],Table1[[#This Row],[NAME]])</f>
        <v>301シャープ 洗浄剤　ラベル　オレンジ</v>
      </c>
    </row>
    <row r="100" spans="1:8" ht="20">
      <c r="A100" s="22">
        <v>100</v>
      </c>
      <c r="B100" s="20" t="s">
        <v>22</v>
      </c>
      <c r="C100" s="20">
        <v>302</v>
      </c>
      <c r="D100" s="20" t="s">
        <v>82</v>
      </c>
      <c r="E100" s="20">
        <v>8</v>
      </c>
      <c r="F100" s="23">
        <v>43756</v>
      </c>
      <c r="G100" s="20">
        <v>1</v>
      </c>
      <c r="H100" s="20" t="str">
        <f>CONCATENATE(Table1[[#This Row],[Order Code]],Table1[[#This Row],[NAME]])</f>
        <v>302ニッカサンブリーチ　赤</v>
      </c>
    </row>
    <row r="101" spans="1:8" ht="20">
      <c r="A101" s="22">
        <v>101</v>
      </c>
      <c r="B101" s="20" t="s">
        <v>22</v>
      </c>
      <c r="C101" s="20">
        <v>203</v>
      </c>
      <c r="D101" s="20" t="s">
        <v>101</v>
      </c>
      <c r="E101" s="20">
        <v>6</v>
      </c>
      <c r="F101" s="23">
        <v>43720</v>
      </c>
      <c r="G101" s="20">
        <v>1</v>
      </c>
      <c r="H101" s="20" t="str">
        <f>CONCATENATE(Table1[[#This Row],[Order Code]],Table1[[#This Row],[NAME]])</f>
        <v>203ユタカ500249 青</v>
      </c>
    </row>
    <row r="102" spans="1:8" ht="20">
      <c r="A102" s="22">
        <v>102</v>
      </c>
      <c r="B102" s="20" t="s">
        <v>22</v>
      </c>
      <c r="C102" s="20">
        <v>203</v>
      </c>
      <c r="D102" s="20" t="s">
        <v>102</v>
      </c>
      <c r="E102" s="20">
        <v>8</v>
      </c>
      <c r="F102" s="23">
        <v>43842</v>
      </c>
      <c r="G102" s="20">
        <v>1</v>
      </c>
      <c r="H102" s="20" t="str">
        <f>CONCATENATE(Table1[[#This Row],[Order Code]],Table1[[#This Row],[NAME]])</f>
        <v>203エコマックスAN(15K) 青</v>
      </c>
    </row>
    <row r="103" spans="1:8" ht="20">
      <c r="A103" s="22">
        <v>103</v>
      </c>
      <c r="B103" s="20" t="s">
        <v>22</v>
      </c>
      <c r="C103" s="20">
        <v>203</v>
      </c>
      <c r="D103" s="20" t="s">
        <v>103</v>
      </c>
      <c r="E103" s="20">
        <v>7</v>
      </c>
      <c r="F103" s="23">
        <v>43818</v>
      </c>
      <c r="G103" s="20"/>
      <c r="H103" s="20" t="str">
        <f>CONCATENATE(Table1[[#This Row],[Order Code]],Table1[[#This Row],[NAME]])</f>
        <v>203エビトーム　青</v>
      </c>
    </row>
    <row r="104" spans="1:8" ht="20">
      <c r="A104" s="22">
        <v>104</v>
      </c>
      <c r="B104" s="20" t="s">
        <v>22</v>
      </c>
      <c r="C104" s="20">
        <v>202</v>
      </c>
      <c r="D104" s="20" t="s">
        <v>104</v>
      </c>
      <c r="E104" s="20">
        <v>8</v>
      </c>
      <c r="F104" s="23">
        <v>43824</v>
      </c>
      <c r="G104" s="20"/>
      <c r="H104" s="20" t="str">
        <f>CONCATENATE(Table1[[#This Row],[Order Code]],Table1[[#This Row],[NAME]])</f>
        <v>202ニューボン　S20W 青</v>
      </c>
    </row>
    <row r="105" spans="1:8" ht="20">
      <c r="A105" s="22">
        <v>105</v>
      </c>
      <c r="B105" s="20" t="s">
        <v>22</v>
      </c>
      <c r="C105" s="20">
        <v>202</v>
      </c>
      <c r="D105" s="20" t="s">
        <v>105</v>
      </c>
      <c r="E105" s="20">
        <v>8</v>
      </c>
      <c r="F105" s="23">
        <v>43571</v>
      </c>
      <c r="G105" s="20">
        <v>1</v>
      </c>
      <c r="H105" s="20" t="str">
        <f>CONCATENATE(Table1[[#This Row],[Order Code]],Table1[[#This Row],[NAME]])</f>
        <v>202エストラル　水色</v>
      </c>
    </row>
    <row r="106" spans="1:8" ht="20">
      <c r="A106" s="22">
        <v>106</v>
      </c>
      <c r="B106" s="20" t="s">
        <v>22</v>
      </c>
      <c r="C106" s="20">
        <v>213</v>
      </c>
      <c r="D106" s="20" t="s">
        <v>106</v>
      </c>
      <c r="E106" s="20">
        <v>8</v>
      </c>
      <c r="F106" s="23">
        <v>43677</v>
      </c>
      <c r="G106" s="20">
        <v>1</v>
      </c>
      <c r="H106" s="20" t="str">
        <f>CONCATENATE(Table1[[#This Row],[Order Code]],Table1[[#This Row],[NAME]])</f>
        <v>213エコスマイル LQ22 青</v>
      </c>
    </row>
    <row r="107" spans="1:8" ht="20">
      <c r="A107" s="22">
        <v>107</v>
      </c>
      <c r="B107" s="20" t="s">
        <v>22</v>
      </c>
      <c r="C107" s="20">
        <v>103</v>
      </c>
      <c r="D107" s="20" t="s">
        <v>107</v>
      </c>
      <c r="E107" s="20">
        <v>5</v>
      </c>
      <c r="F107" s="23">
        <v>43687</v>
      </c>
      <c r="G107" s="20"/>
      <c r="H107" s="20" t="str">
        <f>CONCATENATE(Table1[[#This Row],[Order Code]],Table1[[#This Row],[NAME]])</f>
        <v>103ユタカ　黄緑</v>
      </c>
    </row>
    <row r="108" spans="1:8" ht="20">
      <c r="A108" s="22">
        <v>108</v>
      </c>
      <c r="B108" s="20" t="s">
        <v>22</v>
      </c>
      <c r="C108" s="20">
        <v>103</v>
      </c>
      <c r="D108" s="20" t="s">
        <v>108</v>
      </c>
      <c r="E108" s="20">
        <v>5</v>
      </c>
      <c r="F108" s="23">
        <v>43770</v>
      </c>
      <c r="G108" s="20"/>
      <c r="H108" s="20" t="str">
        <f>CONCATENATE(Table1[[#This Row],[Order Code]],Table1[[#This Row],[NAME]])</f>
        <v>103D-2568 緑</v>
      </c>
    </row>
    <row r="109" spans="1:8" ht="20">
      <c r="A109" s="22">
        <v>109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43837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110</v>
      </c>
      <c r="B110" s="20" t="s">
        <v>22</v>
      </c>
      <c r="C110" s="20">
        <v>103</v>
      </c>
      <c r="D110" s="20" t="s">
        <v>93</v>
      </c>
      <c r="E110" s="20">
        <v>5</v>
      </c>
      <c r="F110" s="23">
        <v>43272</v>
      </c>
      <c r="G110" s="20">
        <v>1</v>
      </c>
      <c r="H110" s="20" t="str">
        <f>CONCATENATE(Table1[[#This Row],[Order Code]],Table1[[#This Row],[NAME]])</f>
        <v>103D-638 緑</v>
      </c>
    </row>
    <row r="111" spans="1:8" ht="20">
      <c r="A111" s="22">
        <v>111</v>
      </c>
      <c r="B111" s="20" t="s">
        <v>22</v>
      </c>
      <c r="C111" s="20">
        <v>153</v>
      </c>
      <c r="D111" s="20" t="s">
        <v>109</v>
      </c>
      <c r="E111" s="20">
        <v>6</v>
      </c>
      <c r="F111" s="23">
        <v>43742</v>
      </c>
      <c r="G111" s="20">
        <v>1</v>
      </c>
      <c r="H111" s="20" t="str">
        <f>CONCATENATE(Table1[[#This Row],[Order Code]],Table1[[#This Row],[NAME]])</f>
        <v>153D-2560 緑</v>
      </c>
    </row>
    <row r="112" spans="1:8" ht="20">
      <c r="A112" s="22">
        <v>112</v>
      </c>
      <c r="B112" s="20" t="s">
        <v>22</v>
      </c>
      <c r="C112" s="20">
        <v>153</v>
      </c>
      <c r="D112" s="20" t="s">
        <v>109</v>
      </c>
      <c r="E112" s="20">
        <v>4</v>
      </c>
      <c r="F112" s="23">
        <v>43616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113</v>
      </c>
      <c r="B113" s="20" t="s">
        <v>22</v>
      </c>
      <c r="C113" s="20">
        <v>153</v>
      </c>
      <c r="D113" s="20" t="s">
        <v>109</v>
      </c>
      <c r="E113" s="20">
        <v>5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114</v>
      </c>
      <c r="B114" s="20" t="s">
        <v>22</v>
      </c>
      <c r="C114" s="20">
        <v>153</v>
      </c>
      <c r="D114" s="20" t="s">
        <v>109</v>
      </c>
      <c r="E114" s="20">
        <v>2</v>
      </c>
      <c r="F114" s="23">
        <v>43293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116</v>
      </c>
      <c r="B115" s="20" t="s">
        <v>22</v>
      </c>
      <c r="C115" s="20">
        <v>303</v>
      </c>
      <c r="D115" s="20" t="s">
        <v>110</v>
      </c>
      <c r="E115" s="20">
        <v>6</v>
      </c>
      <c r="F115" s="23">
        <v>43580</v>
      </c>
      <c r="G115" s="20">
        <v>1</v>
      </c>
      <c r="H115" s="20" t="str">
        <f>CONCATENATE(Table1[[#This Row],[Order Code]],Table1[[#This Row],[NAME]])</f>
        <v>303ドライスター  黄</v>
      </c>
    </row>
    <row r="116" spans="1:8" ht="20">
      <c r="A116" s="22">
        <v>117</v>
      </c>
      <c r="B116" s="20" t="s">
        <v>22</v>
      </c>
      <c r="C116" s="20">
        <v>313</v>
      </c>
      <c r="D116" s="20" t="s">
        <v>111</v>
      </c>
      <c r="E116" s="20">
        <v>8</v>
      </c>
      <c r="F116" s="23">
        <v>43679</v>
      </c>
      <c r="G116" s="20">
        <v>1</v>
      </c>
      <c r="H116" s="20" t="str">
        <f>CONCATENATE(Table1[[#This Row],[Order Code]],Table1[[#This Row],[NAME]])</f>
        <v>313ケアソフター17KG 黄</v>
      </c>
    </row>
    <row r="117" spans="1:8" ht="20">
      <c r="A117" s="22">
        <v>118</v>
      </c>
      <c r="B117" s="20" t="s">
        <v>22</v>
      </c>
      <c r="C117" s="20">
        <v>232</v>
      </c>
      <c r="D117" s="20" t="s">
        <v>112</v>
      </c>
      <c r="E117" s="20">
        <v>8</v>
      </c>
      <c r="F117" s="23">
        <v>43594</v>
      </c>
      <c r="G117" s="20"/>
      <c r="H117" s="20" t="str">
        <f>CONCATENATE(Table1[[#This Row],[Order Code]],Table1[[#This Row],[NAME]])</f>
        <v>232STERISH A105(5L) 黄</v>
      </c>
    </row>
    <row r="118" spans="1:8" ht="20">
      <c r="A118" s="22">
        <v>119</v>
      </c>
      <c r="B118" s="20" t="s">
        <v>22</v>
      </c>
      <c r="C118" s="20">
        <v>323</v>
      </c>
      <c r="D118" s="20" t="s">
        <v>112</v>
      </c>
      <c r="E118" s="20">
        <v>8</v>
      </c>
      <c r="F118" s="23">
        <v>43858</v>
      </c>
      <c r="G118" s="20"/>
      <c r="H118" s="20" t="str">
        <f>CONCATENATE(Table1[[#This Row],[Order Code]],Table1[[#This Row],[NAME]])</f>
        <v>323STERISH A105(5L) 黄</v>
      </c>
    </row>
    <row r="119" spans="1:8" ht="20">
      <c r="A119" s="22">
        <v>120</v>
      </c>
      <c r="B119" s="20" t="s">
        <v>22</v>
      </c>
      <c r="C119" s="20">
        <v>293</v>
      </c>
      <c r="D119" s="20" t="s">
        <v>113</v>
      </c>
      <c r="E119" s="20">
        <v>8</v>
      </c>
      <c r="F119" s="23">
        <v>43605</v>
      </c>
      <c r="G119" s="20"/>
      <c r="H119" s="20" t="str">
        <f>CONCATENATE(Table1[[#This Row],[Order Code]],Table1[[#This Row],[NAME]])</f>
        <v>293トリノユサン表　黄</v>
      </c>
    </row>
    <row r="120" spans="1:8" ht="20">
      <c r="A120" s="22">
        <v>121</v>
      </c>
      <c r="B120" s="20" t="s">
        <v>22</v>
      </c>
      <c r="C120" s="20">
        <v>343</v>
      </c>
      <c r="D120" s="20" t="s">
        <v>114</v>
      </c>
      <c r="E120" s="20">
        <v>6</v>
      </c>
      <c r="F120" s="23">
        <v>42710</v>
      </c>
      <c r="G120" s="20"/>
      <c r="H120" s="20" t="str">
        <f>CONCATENATE(Table1[[#This Row],[Order Code]],Table1[[#This Row],[NAME]])</f>
        <v>343D-164 黄土(コート)</v>
      </c>
    </row>
    <row r="121" spans="1:8" ht="20">
      <c r="A121" s="22">
        <v>122</v>
      </c>
      <c r="B121" s="20" t="s">
        <v>22</v>
      </c>
      <c r="C121" s="20">
        <v>343</v>
      </c>
      <c r="D121" s="20" t="s">
        <v>115</v>
      </c>
      <c r="E121" s="20">
        <v>8</v>
      </c>
      <c r="F121" s="23">
        <v>43699</v>
      </c>
      <c r="G121" s="20">
        <v>1</v>
      </c>
      <c r="H121" s="20" t="str">
        <f>CONCATENATE(Table1[[#This Row],[Order Code]],Table1[[#This Row],[NAME]])</f>
        <v>343D-570 黄</v>
      </c>
    </row>
    <row r="122" spans="1:8" ht="20">
      <c r="A122" s="22">
        <v>123</v>
      </c>
      <c r="B122" s="20" t="s">
        <v>22</v>
      </c>
      <c r="C122" s="20">
        <v>283</v>
      </c>
      <c r="D122" s="20" t="s">
        <v>116</v>
      </c>
      <c r="E122" s="20">
        <v>8</v>
      </c>
      <c r="F122" s="23">
        <v>43732</v>
      </c>
      <c r="G122" s="20">
        <v>1</v>
      </c>
      <c r="H122" s="20" t="str">
        <f>CONCATENATE(Table1[[#This Row],[Order Code]],Table1[[#This Row],[NAME]])</f>
        <v>283ルピランソープ　黄</v>
      </c>
    </row>
    <row r="123" spans="1:8" ht="20">
      <c r="A123" s="22">
        <v>124</v>
      </c>
      <c r="B123" s="20" t="s">
        <v>22</v>
      </c>
      <c r="C123" s="20">
        <v>333</v>
      </c>
      <c r="D123" s="20" t="s">
        <v>117</v>
      </c>
      <c r="E123" s="20">
        <v>8</v>
      </c>
      <c r="F123" s="23">
        <v>43742</v>
      </c>
      <c r="G123" s="20"/>
      <c r="H123" s="20" t="str">
        <f>CONCATENATE(Table1[[#This Row],[Order Code]],Table1[[#This Row],[NAME]])</f>
        <v>333ルピランソーフター　黄</v>
      </c>
    </row>
    <row r="124" spans="1:8" ht="20">
      <c r="A124" s="22">
        <v>125</v>
      </c>
      <c r="B124" s="20" t="s">
        <v>22</v>
      </c>
      <c r="C124" s="20">
        <v>343</v>
      </c>
      <c r="D124" s="20" t="s">
        <v>118</v>
      </c>
      <c r="E124" s="20">
        <v>8</v>
      </c>
      <c r="F124" s="23">
        <v>43602</v>
      </c>
      <c r="G124" s="20"/>
      <c r="H124" s="20" t="str">
        <f>CONCATENATE(Table1[[#This Row],[Order Code]],Table1[[#This Row],[NAME]])</f>
        <v>343テクノザイム401 黄</v>
      </c>
    </row>
    <row r="125" spans="1:8" ht="20">
      <c r="A125" s="22">
        <v>126</v>
      </c>
      <c r="B125" s="20" t="s">
        <v>22</v>
      </c>
      <c r="C125" s="20">
        <v>313</v>
      </c>
      <c r="D125" s="20" t="s">
        <v>244</v>
      </c>
      <c r="E125" s="20">
        <v>8</v>
      </c>
      <c r="F125" s="23">
        <v>43770</v>
      </c>
      <c r="G125" s="20"/>
      <c r="H125" s="20" t="str">
        <f>CONCATENATE(Table1[[#This Row],[Order Code]],Table1[[#This Row],[NAME]])</f>
        <v>313パルトナソフター　黄土</v>
      </c>
    </row>
    <row r="126" spans="1:8" ht="20">
      <c r="A126" s="22">
        <v>127</v>
      </c>
      <c r="B126" s="20" t="s">
        <v>22</v>
      </c>
      <c r="C126" s="20">
        <v>313</v>
      </c>
      <c r="D126" s="20" t="s">
        <v>119</v>
      </c>
      <c r="E126" s="20">
        <v>8</v>
      </c>
      <c r="F126" s="23">
        <v>43712</v>
      </c>
      <c r="G126" s="20">
        <v>1</v>
      </c>
      <c r="H126" s="20" t="str">
        <f>CONCATENATE(Table1[[#This Row],[Order Code]],Table1[[#This Row],[NAME]])</f>
        <v>313ユタカ　黄</v>
      </c>
    </row>
    <row r="127" spans="1:8" ht="20">
      <c r="A127" s="22">
        <v>128</v>
      </c>
      <c r="B127" s="20" t="s">
        <v>22</v>
      </c>
      <c r="C127" s="20">
        <v>333</v>
      </c>
      <c r="D127" s="20" t="s">
        <v>120</v>
      </c>
      <c r="E127" s="20">
        <v>8</v>
      </c>
      <c r="F127" s="23">
        <v>43756</v>
      </c>
      <c r="G127" s="20">
        <v>1</v>
      </c>
      <c r="H127" s="20" t="str">
        <f>CONCATENATE(Table1[[#This Row],[Order Code]],Table1[[#This Row],[NAME]])</f>
        <v>333ニッカサンブリーチ　黄</v>
      </c>
    </row>
    <row r="128" spans="1:8" ht="20">
      <c r="A128" s="22">
        <v>129</v>
      </c>
      <c r="B128" s="20" t="s">
        <v>22</v>
      </c>
      <c r="C128" s="20">
        <v>333</v>
      </c>
      <c r="D128" s="20" t="s">
        <v>121</v>
      </c>
      <c r="E128" s="20">
        <v>8</v>
      </c>
      <c r="F128" s="23">
        <v>43759</v>
      </c>
      <c r="G128" s="20">
        <v>1</v>
      </c>
      <c r="H128" s="20" t="str">
        <f>CONCATENATE(Table1[[#This Row],[Order Code]],Table1[[#This Row],[NAME]])</f>
        <v>333酸素系NA05 黄</v>
      </c>
    </row>
    <row r="129" spans="1:8" ht="20">
      <c r="A129" s="22">
        <v>130</v>
      </c>
      <c r="B129" s="20" t="s">
        <v>22</v>
      </c>
      <c r="C129" s="20">
        <v>373</v>
      </c>
      <c r="D129" s="20" t="s">
        <v>122</v>
      </c>
      <c r="E129" s="20">
        <v>8</v>
      </c>
      <c r="F129" s="23">
        <v>43742</v>
      </c>
      <c r="G129" s="20">
        <v>1</v>
      </c>
      <c r="H129" s="20" t="str">
        <f>CONCATENATE(Table1[[#This Row],[Order Code]],Table1[[#This Row],[NAME]])</f>
        <v>373ルピランソフター　ピンク</v>
      </c>
    </row>
    <row r="130" spans="1:8" ht="20">
      <c r="A130" s="22">
        <v>131</v>
      </c>
      <c r="B130" s="20" t="s">
        <v>22</v>
      </c>
      <c r="C130" s="20">
        <v>283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283ルピランソフター　ピンク</v>
      </c>
    </row>
    <row r="131" spans="1:8" ht="20">
      <c r="A131" s="22">
        <v>132</v>
      </c>
      <c r="B131" s="20" t="s">
        <v>22</v>
      </c>
      <c r="C131" s="20">
        <v>373</v>
      </c>
      <c r="D131" s="20" t="s">
        <v>122</v>
      </c>
      <c r="E131" s="20">
        <v>8</v>
      </c>
      <c r="F131" s="23">
        <v>43571</v>
      </c>
      <c r="G131" s="20">
        <v>1</v>
      </c>
      <c r="H131" s="20" t="str">
        <f>CONCATENATE(Table1[[#This Row],[Order Code]],Table1[[#This Row],[NAME]])</f>
        <v>373ルピランソフター　ピンク</v>
      </c>
    </row>
    <row r="132" spans="1:8" ht="20">
      <c r="A132" s="22">
        <v>133</v>
      </c>
      <c r="B132" s="20" t="s">
        <v>22</v>
      </c>
      <c r="C132" s="20">
        <v>383</v>
      </c>
      <c r="D132" s="20" t="s">
        <v>123</v>
      </c>
      <c r="E132" s="20">
        <v>6</v>
      </c>
      <c r="F132" s="23">
        <v>42667</v>
      </c>
      <c r="G132" s="20"/>
      <c r="H132" s="20" t="str">
        <f>CONCATENATE(Table1[[#This Row],[Order Code]],Table1[[#This Row],[NAME]])</f>
        <v>383D-276 ピンク(コート）</v>
      </c>
    </row>
    <row r="133" spans="1:8" ht="20">
      <c r="A133" s="22">
        <v>134</v>
      </c>
      <c r="B133" s="20" t="s">
        <v>22</v>
      </c>
      <c r="C133" s="20">
        <v>383</v>
      </c>
      <c r="D133" s="20" t="s">
        <v>29</v>
      </c>
      <c r="E133" s="20">
        <v>8</v>
      </c>
      <c r="F133" s="23">
        <v>43746</v>
      </c>
      <c r="G133" s="20"/>
      <c r="H133" s="20" t="str">
        <f>CONCATENATE(Table1[[#This Row],[Order Code]],Table1[[#This Row],[NAME]])</f>
        <v>383D-276 ピンク</v>
      </c>
    </row>
    <row r="134" spans="1:8" ht="20">
      <c r="A134" s="22">
        <v>135</v>
      </c>
      <c r="B134" s="20" t="s">
        <v>22</v>
      </c>
      <c r="C134" s="20"/>
      <c r="D134" s="20" t="s">
        <v>124</v>
      </c>
      <c r="E134" s="20"/>
      <c r="F134" s="20" t="s">
        <v>125</v>
      </c>
      <c r="G134" s="20"/>
      <c r="H134" s="20" t="str">
        <f>CONCATENATE(Table1[[#This Row],[Order Code]],Table1[[#This Row],[NAME]])</f>
        <v>カイトコイン</v>
      </c>
    </row>
    <row r="135" spans="1:8" ht="20">
      <c r="A135" s="22">
        <v>136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137</v>
      </c>
      <c r="B136" s="20" t="s">
        <v>22</v>
      </c>
      <c r="C136" s="20">
        <v>3103</v>
      </c>
      <c r="D136" s="20" t="s">
        <v>80</v>
      </c>
      <c r="E136" s="20">
        <v>7</v>
      </c>
      <c r="F136" s="23">
        <v>43742</v>
      </c>
      <c r="G136" s="20">
        <v>1</v>
      </c>
      <c r="H136" s="20" t="str">
        <f>CONCATENATE(Table1[[#This Row],[Order Code]],Table1[[#This Row],[NAME]])</f>
        <v>3103D-156 赤</v>
      </c>
    </row>
    <row r="137" spans="1:8" ht="20">
      <c r="A137" s="22">
        <v>138</v>
      </c>
      <c r="B137" s="20" t="s">
        <v>22</v>
      </c>
      <c r="C137" s="20">
        <v>3103</v>
      </c>
      <c r="D137" s="20" t="s">
        <v>80</v>
      </c>
      <c r="E137" s="20">
        <v>6</v>
      </c>
      <c r="F137" s="23">
        <v>43482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140</v>
      </c>
      <c r="B138" s="20" t="s">
        <v>22</v>
      </c>
      <c r="C138" s="20">
        <v>212</v>
      </c>
      <c r="D138" s="20" t="s">
        <v>126</v>
      </c>
      <c r="E138" s="20">
        <v>8</v>
      </c>
      <c r="F138" s="23">
        <v>43573</v>
      </c>
      <c r="G138" s="20">
        <v>1</v>
      </c>
      <c r="H138" s="20" t="str">
        <f>CONCATENATE(Table1[[#This Row],[Order Code]],Table1[[#This Row],[NAME]])</f>
        <v>212エストラル　青</v>
      </c>
    </row>
    <row r="139" spans="1:8" ht="20">
      <c r="A139" s="22">
        <v>141</v>
      </c>
      <c r="B139" s="20" t="s">
        <v>22</v>
      </c>
      <c r="C139" s="20">
        <v>212</v>
      </c>
      <c r="D139" s="20" t="s">
        <v>127</v>
      </c>
      <c r="E139" s="20">
        <v>8</v>
      </c>
      <c r="F139" s="23">
        <v>43677</v>
      </c>
      <c r="G139" s="20">
        <v>1</v>
      </c>
      <c r="H139" s="20" t="str">
        <f>CONCATENATE(Table1[[#This Row],[Order Code]],Table1[[#This Row],[NAME]])</f>
        <v>212シーテックK 水色</v>
      </c>
    </row>
    <row r="140" spans="1:8" ht="20">
      <c r="A140" s="22">
        <v>142</v>
      </c>
      <c r="B140" s="20" t="s">
        <v>22</v>
      </c>
      <c r="C140" s="20">
        <v>212</v>
      </c>
      <c r="D140" s="20" t="s">
        <v>75</v>
      </c>
      <c r="E140" s="20">
        <v>8</v>
      </c>
      <c r="F140" s="23">
        <v>43679</v>
      </c>
      <c r="G140" s="20">
        <v>1</v>
      </c>
      <c r="H140" s="20" t="str">
        <f>CONCATENATE(Table1[[#This Row],[Order Code]],Table1[[#This Row],[NAME]])</f>
        <v>212テクノクリアN5L 水色</v>
      </c>
    </row>
    <row r="141" spans="1:8" ht="20">
      <c r="A141" s="22">
        <v>143</v>
      </c>
      <c r="B141" s="20" t="s">
        <v>22</v>
      </c>
      <c r="C141" s="20">
        <v>222</v>
      </c>
      <c r="D141" s="20" t="s">
        <v>55</v>
      </c>
      <c r="E141" s="20">
        <v>8</v>
      </c>
      <c r="F141" s="23">
        <v>43616</v>
      </c>
      <c r="G141" s="20"/>
      <c r="H141" s="20" t="str">
        <f>CONCATENATE(Table1[[#This Row],[Order Code]],Table1[[#This Row],[NAME]])</f>
        <v>222D-181 青</v>
      </c>
    </row>
    <row r="142" spans="1:8" ht="20">
      <c r="A142" s="22">
        <v>144</v>
      </c>
      <c r="B142" s="20" t="s">
        <v>22</v>
      </c>
      <c r="C142" s="20">
        <v>293</v>
      </c>
      <c r="D142" s="20" t="s">
        <v>128</v>
      </c>
      <c r="E142" s="20">
        <v>6</v>
      </c>
      <c r="F142" s="23">
        <v>43747</v>
      </c>
      <c r="G142" s="20">
        <v>1</v>
      </c>
      <c r="H142" s="20" t="str">
        <f>CONCATENATE(Table1[[#This Row],[Order Code]],Table1[[#This Row],[NAME]])</f>
        <v>293トリノコサン　青</v>
      </c>
    </row>
    <row r="143" spans="1:8" ht="20">
      <c r="A143" s="22">
        <v>145</v>
      </c>
      <c r="B143" s="20" t="s">
        <v>22</v>
      </c>
      <c r="C143" s="20">
        <v>232</v>
      </c>
      <c r="D143" s="20" t="s">
        <v>129</v>
      </c>
      <c r="E143" s="20">
        <v>8</v>
      </c>
      <c r="F143" s="23">
        <v>43756</v>
      </c>
      <c r="G143" s="20">
        <v>1</v>
      </c>
      <c r="H143" s="20" t="str">
        <f>CONCATENATE(Table1[[#This Row],[Order Code]],Table1[[#This Row],[NAME]])</f>
        <v>232ニッカサンブリーチ　青</v>
      </c>
    </row>
    <row r="144" spans="1:8" ht="20">
      <c r="A144" s="22">
        <v>146</v>
      </c>
      <c r="B144" s="20" t="s">
        <v>22</v>
      </c>
      <c r="C144" s="20">
        <v>232</v>
      </c>
      <c r="D144" s="20" t="s">
        <v>130</v>
      </c>
      <c r="E144" s="20">
        <v>8</v>
      </c>
      <c r="F144" s="23">
        <v>43612</v>
      </c>
      <c r="G144" s="20"/>
      <c r="H144" s="20" t="str">
        <f>CONCATENATE(Table1[[#This Row],[Order Code]],Table1[[#This Row],[NAME]])</f>
        <v>232STERISH N104(4L）　水色</v>
      </c>
    </row>
    <row r="145" spans="1:8" ht="20">
      <c r="A145" s="22">
        <v>147</v>
      </c>
      <c r="B145" s="20" t="s">
        <v>22</v>
      </c>
      <c r="C145" s="20">
        <v>323</v>
      </c>
      <c r="D145" s="20" t="s">
        <v>131</v>
      </c>
      <c r="E145" s="20">
        <v>6</v>
      </c>
      <c r="F145" s="23">
        <v>43594</v>
      </c>
      <c r="G145" s="20"/>
      <c r="H145" s="20" t="str">
        <f>CONCATENATE(Table1[[#This Row],[Order Code]],Table1[[#This Row],[NAME]])</f>
        <v>323STERISH N105(5L) 青</v>
      </c>
    </row>
    <row r="146" spans="1:8" ht="20">
      <c r="A146" s="22">
        <v>148</v>
      </c>
      <c r="B146" s="20" t="s">
        <v>22</v>
      </c>
      <c r="C146" s="20">
        <v>252</v>
      </c>
      <c r="D146" s="20" t="s">
        <v>132</v>
      </c>
      <c r="E146" s="20" t="s">
        <v>46</v>
      </c>
      <c r="F146" s="23">
        <v>43573</v>
      </c>
      <c r="G146" s="20">
        <v>1</v>
      </c>
      <c r="H146" s="20" t="str">
        <f>CONCATENATE(Table1[[#This Row],[Order Code]],Table1[[#This Row],[NAME]])</f>
        <v>252アトムベッド　青</v>
      </c>
    </row>
    <row r="147" spans="1:8" ht="20">
      <c r="A147" s="22">
        <v>149</v>
      </c>
      <c r="B147" s="20" t="s">
        <v>22</v>
      </c>
      <c r="C147" s="20">
        <v>242</v>
      </c>
      <c r="D147" s="20" t="s">
        <v>133</v>
      </c>
      <c r="E147" s="20">
        <v>4</v>
      </c>
      <c r="F147" s="23">
        <v>43151</v>
      </c>
      <c r="G147" s="20"/>
      <c r="H147" s="20" t="str">
        <f>CONCATENATE(Table1[[#This Row],[Order Code]],Table1[[#This Row],[NAME]])</f>
        <v>242ユタカ　水色</v>
      </c>
    </row>
    <row r="148" spans="1:8" ht="20">
      <c r="A148" s="22">
        <v>150</v>
      </c>
      <c r="B148" s="20" t="s">
        <v>22</v>
      </c>
      <c r="C148" s="20">
        <v>242</v>
      </c>
      <c r="D148" s="20" t="s">
        <v>134</v>
      </c>
      <c r="E148" s="20">
        <v>6</v>
      </c>
      <c r="F148" s="23">
        <v>43590</v>
      </c>
      <c r="G148" s="20">
        <v>1</v>
      </c>
      <c r="H148" s="20" t="str">
        <f>CONCATENATE(Table1[[#This Row],[Order Code]],Table1[[#This Row],[NAME]])</f>
        <v>242メディカール NX20 青</v>
      </c>
    </row>
    <row r="149" spans="1:8" ht="20">
      <c r="A149" s="22">
        <v>151</v>
      </c>
      <c r="B149" s="20" t="s">
        <v>22</v>
      </c>
      <c r="C149" s="20">
        <v>252</v>
      </c>
      <c r="D149" s="20" t="s">
        <v>135</v>
      </c>
      <c r="E149" s="20">
        <v>4</v>
      </c>
      <c r="F149" s="23">
        <v>43621</v>
      </c>
      <c r="G149" s="20">
        <v>1</v>
      </c>
      <c r="H149" s="20" t="str">
        <f>CONCATENATE(Table1[[#This Row],[Order Code]],Table1[[#This Row],[NAME]])</f>
        <v>252ソーピーセブン　紺</v>
      </c>
    </row>
    <row r="150" spans="1:8" ht="20">
      <c r="A150" s="22">
        <v>152</v>
      </c>
      <c r="B150" s="20" t="s">
        <v>22</v>
      </c>
      <c r="C150" s="20">
        <v>252</v>
      </c>
      <c r="D150" s="20" t="s">
        <v>136</v>
      </c>
      <c r="E150" s="20">
        <v>6</v>
      </c>
      <c r="F150" s="23">
        <v>43707</v>
      </c>
      <c r="G150" s="20">
        <v>1</v>
      </c>
      <c r="H150" s="20" t="str">
        <f>CONCATENATE(Table1[[#This Row],[Order Code]],Table1[[#This Row],[NAME]])</f>
        <v>252シプロ化成　紺藍</v>
      </c>
    </row>
    <row r="151" spans="1:8" ht="20">
      <c r="A151" s="22">
        <v>153</v>
      </c>
      <c r="B151" s="20" t="s">
        <v>22</v>
      </c>
      <c r="C151" s="20">
        <v>262</v>
      </c>
      <c r="D151" s="20" t="s">
        <v>137</v>
      </c>
      <c r="E151" s="20">
        <v>3</v>
      </c>
      <c r="F151" s="23">
        <v>43746</v>
      </c>
      <c r="G151" s="20">
        <v>1</v>
      </c>
      <c r="H151" s="20" t="str">
        <f>CONCATENATE(Table1[[#This Row],[Order Code]],Table1[[#This Row],[NAME]])</f>
        <v>262ニッカサンブリーチ　紺</v>
      </c>
    </row>
    <row r="152" spans="1:8" ht="20">
      <c r="A152" s="22">
        <v>154</v>
      </c>
      <c r="B152" s="20" t="s">
        <v>22</v>
      </c>
      <c r="C152" s="20">
        <v>262</v>
      </c>
      <c r="D152" s="20" t="s">
        <v>138</v>
      </c>
      <c r="E152" s="20">
        <v>4</v>
      </c>
      <c r="F152" s="23">
        <v>43805</v>
      </c>
      <c r="G152" s="20">
        <v>1</v>
      </c>
      <c r="H152" s="20" t="str">
        <f>CONCATENATE(Table1[[#This Row],[Order Code]],Table1[[#This Row],[NAME]])</f>
        <v>262スペクトロ　紺</v>
      </c>
    </row>
    <row r="153" spans="1:8" ht="20">
      <c r="A153" s="22">
        <v>155</v>
      </c>
      <c r="B153" s="20" t="s">
        <v>22</v>
      </c>
      <c r="C153" s="20">
        <v>262</v>
      </c>
      <c r="D153" s="20" t="s">
        <v>99</v>
      </c>
      <c r="E153" s="20">
        <v>4</v>
      </c>
      <c r="F153" s="23">
        <v>43699</v>
      </c>
      <c r="G153" s="20"/>
      <c r="H153" s="20" t="str">
        <f>CONCATENATE(Table1[[#This Row],[Order Code]],Table1[[#This Row],[NAME]])</f>
        <v>262D-222 紺</v>
      </c>
    </row>
    <row r="154" spans="1:8" ht="20">
      <c r="A154" s="22">
        <v>156</v>
      </c>
      <c r="B154" s="20" t="s">
        <v>22</v>
      </c>
      <c r="C154" s="20">
        <v>272</v>
      </c>
      <c r="D154" s="20" t="s">
        <v>139</v>
      </c>
      <c r="E154" s="20">
        <v>9</v>
      </c>
      <c r="F154" s="23">
        <v>42769</v>
      </c>
      <c r="G154" s="20">
        <v>1</v>
      </c>
      <c r="H154" s="20" t="str">
        <f>CONCATENATE(Table1[[#This Row],[Order Code]],Table1[[#This Row],[NAME]])</f>
        <v>272UVカット　紺　500238</v>
      </c>
    </row>
    <row r="155" spans="1:8" ht="20">
      <c r="A155" s="22">
        <v>157</v>
      </c>
      <c r="B155" s="20" t="s">
        <v>22</v>
      </c>
      <c r="C155" s="20">
        <v>272</v>
      </c>
      <c r="D155" s="20" t="s">
        <v>139</v>
      </c>
      <c r="E155" s="20">
        <v>8</v>
      </c>
      <c r="F155" s="23">
        <v>43697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158</v>
      </c>
      <c r="B156" s="20" t="s">
        <v>22</v>
      </c>
      <c r="C156" s="20">
        <v>272</v>
      </c>
      <c r="D156" s="20" t="s">
        <v>140</v>
      </c>
      <c r="E156" s="20">
        <v>7</v>
      </c>
      <c r="F156" s="23">
        <v>43742</v>
      </c>
      <c r="G156" s="20">
        <v>1</v>
      </c>
      <c r="H156" s="20" t="str">
        <f>CONCATENATE(Table1[[#This Row],[Order Code]],Table1[[#This Row],[NAME]])</f>
        <v>272VF365 紺</v>
      </c>
    </row>
    <row r="157" spans="1:8" ht="20">
      <c r="A157" s="22">
        <v>159</v>
      </c>
      <c r="B157" s="20" t="s">
        <v>22</v>
      </c>
      <c r="C157" s="20">
        <v>282</v>
      </c>
      <c r="D157" s="20" t="s">
        <v>141</v>
      </c>
      <c r="E157" s="20">
        <v>2</v>
      </c>
      <c r="F157" s="23">
        <v>43101</v>
      </c>
      <c r="G157" s="20">
        <v>1</v>
      </c>
      <c r="H157" s="20" t="str">
        <f>CONCATENATE(Table1[[#This Row],[Order Code]],Table1[[#This Row],[NAME]])</f>
        <v>282D-99 青</v>
      </c>
    </row>
    <row r="158" spans="1:8" ht="20">
      <c r="A158" s="22">
        <v>160</v>
      </c>
      <c r="B158" s="20" t="s">
        <v>22</v>
      </c>
      <c r="C158" s="20">
        <v>282</v>
      </c>
      <c r="D158" s="20" t="s">
        <v>125</v>
      </c>
      <c r="E158" s="20"/>
      <c r="F158" s="20" t="s">
        <v>125</v>
      </c>
      <c r="G158" s="20"/>
      <c r="H158" s="20" t="str">
        <f>CONCATENATE(Table1[[#This Row],[Order Code]],Table1[[#This Row],[NAME]])</f>
        <v>282NA</v>
      </c>
    </row>
    <row r="159" spans="1:8" ht="20">
      <c r="A159" s="22">
        <v>161</v>
      </c>
      <c r="B159" s="20" t="s">
        <v>22</v>
      </c>
      <c r="C159" s="20">
        <v>292</v>
      </c>
      <c r="D159" s="20" t="s">
        <v>142</v>
      </c>
      <c r="E159" s="20">
        <v>6</v>
      </c>
      <c r="F159" s="23">
        <v>43805</v>
      </c>
      <c r="G159" s="20">
        <v>1</v>
      </c>
      <c r="H159" s="20" t="str">
        <f>CONCATENATE(Table1[[#This Row],[Order Code]],Table1[[#This Row],[NAME]])</f>
        <v>292エクシート様　グレー</v>
      </c>
    </row>
    <row r="160" spans="1:8" ht="20">
      <c r="A160" s="22">
        <v>162</v>
      </c>
      <c r="B160" s="20" t="s">
        <v>22</v>
      </c>
      <c r="C160" s="20">
        <v>292</v>
      </c>
      <c r="D160" s="20" t="s">
        <v>143</v>
      </c>
      <c r="E160" s="20">
        <v>6</v>
      </c>
      <c r="F160" s="23">
        <v>43503</v>
      </c>
      <c r="G160" s="20"/>
      <c r="H160" s="20" t="str">
        <f>CONCATENATE(Table1[[#This Row],[Order Code]],Table1[[#This Row],[NAME]])</f>
        <v>292D-185 紺(コート）</v>
      </c>
    </row>
    <row r="161" spans="1:8" ht="20">
      <c r="A161" s="22">
        <v>163</v>
      </c>
      <c r="B161" s="20" t="s">
        <v>22</v>
      </c>
      <c r="C161" s="20">
        <v>2102</v>
      </c>
      <c r="D161" s="20" t="s">
        <v>144</v>
      </c>
      <c r="E161" s="20">
        <v>9</v>
      </c>
      <c r="F161" s="23">
        <v>43534</v>
      </c>
      <c r="G161" s="20"/>
      <c r="H161" s="20" t="str">
        <f>CONCATENATE(Table1[[#This Row],[Order Code]],Table1[[#This Row],[NAME]])</f>
        <v>2102カイトコイン　黄</v>
      </c>
    </row>
    <row r="162" spans="1:8" ht="20">
      <c r="A162" s="22">
        <v>164</v>
      </c>
      <c r="B162" s="20" t="s">
        <v>22</v>
      </c>
      <c r="C162" s="20">
        <v>2102</v>
      </c>
      <c r="D162" s="20" t="s">
        <v>145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青</v>
      </c>
    </row>
    <row r="163" spans="1:8" ht="20">
      <c r="A163" s="22">
        <v>166</v>
      </c>
      <c r="B163" s="20" t="s">
        <v>22</v>
      </c>
      <c r="C163" s="20">
        <v>113</v>
      </c>
      <c r="D163" s="20" t="s">
        <v>146</v>
      </c>
      <c r="E163" s="20">
        <v>8</v>
      </c>
      <c r="F163" s="23">
        <v>43629</v>
      </c>
      <c r="G163" s="20">
        <v>1</v>
      </c>
      <c r="H163" s="20" t="str">
        <f>CONCATENATE(Table1[[#This Row],[Order Code]],Table1[[#This Row],[NAME]])</f>
        <v>113ユタカ500230 緑</v>
      </c>
    </row>
    <row r="164" spans="1:8" ht="20">
      <c r="A164" s="22">
        <v>167</v>
      </c>
      <c r="B164" s="20" t="s">
        <v>22</v>
      </c>
      <c r="C164" s="20">
        <v>113</v>
      </c>
      <c r="D164" s="20" t="s">
        <v>147</v>
      </c>
      <c r="E164" s="20">
        <v>8</v>
      </c>
      <c r="F164" s="23">
        <v>43628</v>
      </c>
      <c r="G164" s="20">
        <v>1</v>
      </c>
      <c r="H164" s="20" t="str">
        <f>CONCATENATE(Table1[[#This Row],[Order Code]],Table1[[#This Row],[NAME]])</f>
        <v>113ユタカ500228 緑</v>
      </c>
    </row>
    <row r="165" spans="1:8" ht="20">
      <c r="A165" s="22">
        <v>168</v>
      </c>
      <c r="B165" s="20" t="s">
        <v>22</v>
      </c>
      <c r="C165" s="20">
        <v>113</v>
      </c>
      <c r="D165" s="20" t="s">
        <v>234</v>
      </c>
      <c r="E165" s="20">
        <v>8</v>
      </c>
      <c r="F165" s="23">
        <v>43861</v>
      </c>
      <c r="G165" s="20">
        <v>1</v>
      </c>
      <c r="H165" s="20" t="str">
        <f>CONCATENATE(Table1[[#This Row],[Order Code]],Table1[[#This Row],[NAME]])</f>
        <v>113ユタカ花粉ホコリ　緑</v>
      </c>
    </row>
    <row r="166" spans="1:8" ht="20">
      <c r="A166" s="22">
        <v>169</v>
      </c>
      <c r="B166" s="20" t="s">
        <v>22</v>
      </c>
      <c r="C166" s="20">
        <v>173</v>
      </c>
      <c r="D166" s="20" t="s">
        <v>149</v>
      </c>
      <c r="E166" s="20">
        <v>8</v>
      </c>
      <c r="F166" s="23">
        <v>43719</v>
      </c>
      <c r="G166" s="20"/>
      <c r="H166" s="20" t="str">
        <f>CONCATENATE(Table1[[#This Row],[Order Code]],Table1[[#This Row],[NAME]])</f>
        <v>173日華　グリン</v>
      </c>
    </row>
    <row r="167" spans="1:8" ht="20">
      <c r="A167" s="22">
        <v>170</v>
      </c>
      <c r="B167" s="20" t="s">
        <v>22</v>
      </c>
      <c r="C167" s="20">
        <v>123</v>
      </c>
      <c r="D167" s="20" t="s">
        <v>150</v>
      </c>
      <c r="E167" s="20">
        <v>8</v>
      </c>
      <c r="F167" s="23">
        <v>43578</v>
      </c>
      <c r="G167" s="20">
        <v>1</v>
      </c>
      <c r="H167" s="20" t="str">
        <f>CONCATENATE(Table1[[#This Row],[Order Code]],Table1[[#This Row],[NAME]])</f>
        <v>123MUN760S 緑</v>
      </c>
    </row>
    <row r="168" spans="1:8" ht="20">
      <c r="A168" s="22">
        <v>171</v>
      </c>
      <c r="B168" s="20" t="s">
        <v>22</v>
      </c>
      <c r="C168" s="20">
        <v>123</v>
      </c>
      <c r="D168" s="20" t="s">
        <v>189</v>
      </c>
      <c r="E168" s="20">
        <v>6</v>
      </c>
      <c r="F168" s="23">
        <v>43697</v>
      </c>
      <c r="G168" s="20">
        <v>1</v>
      </c>
      <c r="H168" s="20" t="str">
        <f>CONCATENATE(Table1[[#This Row],[Order Code]],Table1[[#This Row],[NAME]])</f>
        <v>123UVカット　緑　500238</v>
      </c>
    </row>
    <row r="169" spans="1:8" ht="20">
      <c r="A169" s="22">
        <v>172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43669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173</v>
      </c>
      <c r="B170" s="20" t="s">
        <v>22</v>
      </c>
      <c r="C170" s="20">
        <v>113</v>
      </c>
      <c r="D170" s="20" t="s">
        <v>149</v>
      </c>
      <c r="E170" s="20">
        <v>8</v>
      </c>
      <c r="F170" s="23">
        <v>43774</v>
      </c>
      <c r="G170" s="20"/>
      <c r="H170" s="20" t="str">
        <f>CONCATENATE(Table1[[#This Row],[Order Code]],Table1[[#This Row],[NAME]])</f>
        <v>113日華　グリン</v>
      </c>
    </row>
    <row r="171" spans="1:8" ht="20">
      <c r="A171" s="22">
        <v>174</v>
      </c>
      <c r="B171" s="20" t="s">
        <v>22</v>
      </c>
      <c r="C171" s="20">
        <v>143</v>
      </c>
      <c r="D171" s="20" t="s">
        <v>151</v>
      </c>
      <c r="E171" s="20">
        <v>8</v>
      </c>
      <c r="F171" s="23">
        <v>43886</v>
      </c>
      <c r="G171" s="20">
        <v>1</v>
      </c>
      <c r="H171" s="20" t="str">
        <f>CONCATENATE(Table1[[#This Row],[Order Code]],Table1[[#This Row],[NAME]])</f>
        <v>143中性酵素SDNUーN4 緑</v>
      </c>
    </row>
    <row r="172" spans="1:8" ht="20">
      <c r="A172" s="22">
        <v>175</v>
      </c>
      <c r="B172" s="20" t="s">
        <v>22</v>
      </c>
      <c r="C172" s="20">
        <v>133</v>
      </c>
      <c r="D172" s="20" t="s">
        <v>152</v>
      </c>
      <c r="E172" s="20">
        <v>8</v>
      </c>
      <c r="F172" s="23">
        <v>43637</v>
      </c>
      <c r="G172" s="20"/>
      <c r="H172" s="20" t="str">
        <f>CONCATENATE(Table1[[#This Row],[Order Code]],Table1[[#This Row],[NAME]])</f>
        <v>133ワイドスキップS 緑</v>
      </c>
    </row>
    <row r="173" spans="1:8" ht="20">
      <c r="A173" s="22">
        <v>176</v>
      </c>
      <c r="B173" s="20" t="s">
        <v>22</v>
      </c>
      <c r="C173" s="20">
        <v>133</v>
      </c>
      <c r="D173" s="20" t="s">
        <v>153</v>
      </c>
      <c r="E173" s="20">
        <v>5</v>
      </c>
      <c r="F173" s="23">
        <v>43573</v>
      </c>
      <c r="G173" s="20">
        <v>1</v>
      </c>
      <c r="H173" s="20" t="str">
        <f>CONCATENATE(Table1[[#This Row],[Order Code]],Table1[[#This Row],[NAME]])</f>
        <v>133リポブライト　緑</v>
      </c>
    </row>
    <row r="174" spans="1:8" ht="20">
      <c r="A174" s="22">
        <v>177</v>
      </c>
      <c r="B174" s="20" t="s">
        <v>22</v>
      </c>
      <c r="C174" s="20">
        <v>133</v>
      </c>
      <c r="D174" s="20" t="s">
        <v>154</v>
      </c>
      <c r="E174" s="20">
        <v>8</v>
      </c>
      <c r="F174" s="23">
        <v>43668</v>
      </c>
      <c r="G174" s="20">
        <v>1</v>
      </c>
      <c r="H174" s="20" t="str">
        <f>CONCATENATE(Table1[[#This Row],[Order Code]],Table1[[#This Row],[NAME]])</f>
        <v>133エコティスパウダー　緑</v>
      </c>
    </row>
    <row r="175" spans="1:8" ht="20">
      <c r="A175" s="22">
        <v>178</v>
      </c>
      <c r="B175" s="20" t="s">
        <v>22</v>
      </c>
      <c r="C175" s="20">
        <v>133</v>
      </c>
      <c r="D175" s="20" t="s">
        <v>155</v>
      </c>
      <c r="E175" s="20">
        <v>6</v>
      </c>
      <c r="F175" s="23">
        <v>43605</v>
      </c>
      <c r="G175" s="20">
        <v>1</v>
      </c>
      <c r="H175" s="20" t="str">
        <f>CONCATENATE(Table1[[#This Row],[Order Code]],Table1[[#This Row],[NAME]])</f>
        <v>133エストラフGT33 緑</v>
      </c>
    </row>
    <row r="176" spans="1:8" ht="20">
      <c r="A176" s="22">
        <v>179</v>
      </c>
      <c r="B176" s="20" t="s">
        <v>22</v>
      </c>
      <c r="C176" s="20">
        <v>143</v>
      </c>
      <c r="D176" s="20" t="s">
        <v>156</v>
      </c>
      <c r="E176" s="20">
        <v>5</v>
      </c>
      <c r="F176" s="23">
        <v>43825</v>
      </c>
      <c r="G176" s="20">
        <v>1</v>
      </c>
      <c r="H176" s="20" t="str">
        <f>CONCATENATE(Table1[[#This Row],[Order Code]],Table1[[#This Row],[NAME]])</f>
        <v>143テクノソフターN 緑</v>
      </c>
    </row>
    <row r="177" spans="1:8" ht="20">
      <c r="A177" s="22">
        <v>180</v>
      </c>
      <c r="B177" s="20" t="s">
        <v>22</v>
      </c>
      <c r="C177" s="20">
        <v>143</v>
      </c>
      <c r="D177" s="20" t="s">
        <v>157</v>
      </c>
      <c r="E177" s="20">
        <v>8</v>
      </c>
      <c r="F177" s="23">
        <v>43796</v>
      </c>
      <c r="G177" s="20">
        <v>1</v>
      </c>
      <c r="H177" s="20" t="str">
        <f>CONCATENATE(Table1[[#This Row],[Order Code]],Table1[[#This Row],[NAME]])</f>
        <v>143P-369 C 緑</v>
      </c>
    </row>
    <row r="178" spans="1:8" ht="20">
      <c r="A178" s="22">
        <v>181</v>
      </c>
      <c r="B178" s="20" t="s">
        <v>22</v>
      </c>
      <c r="C178" s="20">
        <v>123</v>
      </c>
      <c r="D178" s="20" t="s">
        <v>158</v>
      </c>
      <c r="E178" s="20">
        <v>8</v>
      </c>
      <c r="F178" s="23">
        <v>43850</v>
      </c>
      <c r="G178" s="20">
        <v>1</v>
      </c>
      <c r="H178" s="20" t="str">
        <f>CONCATENATE(Table1[[#This Row],[Order Code]],Table1[[#This Row],[NAME]])</f>
        <v>123エコスマイル SJ(10K) 緑</v>
      </c>
    </row>
    <row r="179" spans="1:8" ht="20">
      <c r="A179" s="22">
        <v>182</v>
      </c>
      <c r="B179" s="20" t="s">
        <v>22</v>
      </c>
      <c r="C179" s="20">
        <v>183</v>
      </c>
      <c r="D179" s="20" t="s">
        <v>159</v>
      </c>
      <c r="E179" s="20">
        <v>8</v>
      </c>
      <c r="F179" s="23">
        <v>43668</v>
      </c>
      <c r="G179" s="20">
        <v>1</v>
      </c>
      <c r="H179" s="20" t="str">
        <f>CONCATENATE(Table1[[#This Row],[Order Code]],Table1[[#This Row],[NAME]])</f>
        <v>183エコティスパウダー 黄緑</v>
      </c>
    </row>
    <row r="180" spans="1:8" ht="20">
      <c r="A180" s="22">
        <v>183</v>
      </c>
      <c r="B180" s="20" t="s">
        <v>22</v>
      </c>
      <c r="C180" s="20">
        <v>163</v>
      </c>
      <c r="D180" s="20" t="s">
        <v>160</v>
      </c>
      <c r="E180" s="20">
        <v>6</v>
      </c>
      <c r="F180" s="23">
        <v>43577</v>
      </c>
      <c r="G180" s="20"/>
      <c r="H180" s="20" t="str">
        <f>CONCATENATE(Table1[[#This Row],[Order Code]],Table1[[#This Row],[NAME]])</f>
        <v>163カイトコイン　緑</v>
      </c>
    </row>
    <row r="181" spans="1:8" ht="20">
      <c r="A181" s="22">
        <v>184</v>
      </c>
      <c r="B181" s="20" t="s">
        <v>22</v>
      </c>
      <c r="C181" s="20">
        <v>163</v>
      </c>
      <c r="D181" s="20" t="s">
        <v>161</v>
      </c>
      <c r="E181" s="20">
        <v>6</v>
      </c>
      <c r="F181" s="23">
        <v>43805</v>
      </c>
      <c r="G181" s="20">
        <v>1</v>
      </c>
      <c r="H181" s="20" t="str">
        <f>CONCATENATE(Table1[[#This Row],[Order Code]],Table1[[#This Row],[NAME]])</f>
        <v>163ネオアージュ　緑</v>
      </c>
    </row>
    <row r="182" spans="1:8" ht="20">
      <c r="A182" s="22">
        <v>185</v>
      </c>
      <c r="B182" s="20" t="s">
        <v>22</v>
      </c>
      <c r="C182" s="20">
        <v>143</v>
      </c>
      <c r="D182" s="20" t="s">
        <v>162</v>
      </c>
      <c r="E182" s="20">
        <v>5</v>
      </c>
      <c r="F182" s="23">
        <v>43732</v>
      </c>
      <c r="G182" s="20"/>
      <c r="H182" s="20" t="str">
        <f>CONCATENATE(Table1[[#This Row],[Order Code]],Table1[[#This Row],[NAME]])</f>
        <v>143ルピランソープ 緑</v>
      </c>
    </row>
    <row r="183" spans="1:8" ht="20">
      <c r="A183" s="22">
        <v>186</v>
      </c>
      <c r="B183" s="20" t="s">
        <v>51</v>
      </c>
      <c r="C183" s="20">
        <v>173</v>
      </c>
      <c r="D183" s="20" t="s">
        <v>163</v>
      </c>
      <c r="E183" s="20">
        <v>6</v>
      </c>
      <c r="F183" s="23">
        <v>42740</v>
      </c>
      <c r="G183" s="20"/>
      <c r="H183" s="20" t="str">
        <f>CONCATENATE(Table1[[#This Row],[Order Code]],Table1[[#This Row],[NAME]])</f>
        <v>173耐減感11 濃緑</v>
      </c>
    </row>
    <row r="184" spans="1:8" ht="20">
      <c r="A184" s="22">
        <v>187</v>
      </c>
      <c r="B184" s="20" t="s">
        <v>51</v>
      </c>
      <c r="C184" s="20">
        <v>173</v>
      </c>
      <c r="D184" s="20" t="s">
        <v>163</v>
      </c>
      <c r="E184" s="20">
        <v>1</v>
      </c>
      <c r="F184" s="23">
        <v>42465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188</v>
      </c>
      <c r="B185" s="20" t="s">
        <v>22</v>
      </c>
      <c r="C185" s="20">
        <v>163</v>
      </c>
      <c r="D185" s="20" t="s">
        <v>164</v>
      </c>
      <c r="E185" s="20">
        <v>7</v>
      </c>
      <c r="F185" s="23">
        <v>43732</v>
      </c>
      <c r="G185" s="20">
        <v>1</v>
      </c>
      <c r="H185" s="20" t="str">
        <f>CONCATENATE(Table1[[#This Row],[Order Code]],Table1[[#This Row],[NAME]])</f>
        <v>163エルモアEL88 緑</v>
      </c>
    </row>
    <row r="186" spans="1:8" ht="20">
      <c r="A186" s="22">
        <v>189</v>
      </c>
      <c r="B186" s="20" t="s">
        <v>22</v>
      </c>
      <c r="C186" s="20">
        <v>183</v>
      </c>
      <c r="D186" s="20" t="s">
        <v>165</v>
      </c>
      <c r="E186" s="20">
        <v>8</v>
      </c>
      <c r="F186" s="23">
        <v>44173</v>
      </c>
      <c r="G186" s="20">
        <v>1</v>
      </c>
      <c r="H186" s="20" t="str">
        <f>CONCATENATE(Table1[[#This Row],[Order Code]],Table1[[#This Row],[NAME]])</f>
        <v>183安田蒲鉾　黄緑</v>
      </c>
    </row>
    <row r="187" spans="1:8" ht="20">
      <c r="A187" s="22">
        <v>190</v>
      </c>
      <c r="B187" s="20" t="s">
        <v>22</v>
      </c>
      <c r="C187" s="20">
        <v>193</v>
      </c>
      <c r="D187" s="20" t="s">
        <v>166</v>
      </c>
      <c r="E187" s="20">
        <v>6</v>
      </c>
      <c r="F187" s="23">
        <v>43775</v>
      </c>
      <c r="G187" s="20">
        <v>1</v>
      </c>
      <c r="H187" s="20" t="str">
        <f>CONCATENATE(Table1[[#This Row],[Order Code]],Table1[[#This Row],[NAME]])</f>
        <v>193エコスマイルDX 紫</v>
      </c>
    </row>
    <row r="188" spans="1:8" ht="20">
      <c r="A188" s="22">
        <v>191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43590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192</v>
      </c>
      <c r="B189" s="20" t="s">
        <v>22</v>
      </c>
      <c r="C189" s="20">
        <v>193</v>
      </c>
      <c r="D189" s="20" t="s">
        <v>167</v>
      </c>
      <c r="E189" s="20">
        <v>7</v>
      </c>
      <c r="F189" s="23">
        <v>43899</v>
      </c>
      <c r="G189" s="20">
        <v>1</v>
      </c>
      <c r="H189" s="20" t="str">
        <f>CONCATENATE(Table1[[#This Row],[Order Code]],Table1[[#This Row],[NAME]])</f>
        <v>193ユタカ　赤紫</v>
      </c>
    </row>
    <row r="190" spans="1:8" ht="20">
      <c r="A190" s="22">
        <v>193</v>
      </c>
      <c r="B190" s="20" t="s">
        <v>22</v>
      </c>
      <c r="C190" s="20">
        <v>183</v>
      </c>
      <c r="D190" s="20" t="s">
        <v>238</v>
      </c>
      <c r="E190" s="20">
        <v>9</v>
      </c>
      <c r="F190" s="23">
        <v>43916</v>
      </c>
      <c r="G190" s="20">
        <v>1</v>
      </c>
      <c r="H190" s="20" t="str">
        <f>CONCATENATE(Table1[[#This Row],[Order Code]],Table1[[#This Row],[NAME]])</f>
        <v>183オーリス64 紫</v>
      </c>
    </row>
    <row r="191" spans="1:8" ht="20">
      <c r="A191" s="22">
        <v>194</v>
      </c>
      <c r="B191" s="20" t="s">
        <v>22</v>
      </c>
      <c r="C191" s="20">
        <v>183</v>
      </c>
      <c r="D191" s="20" t="s">
        <v>169</v>
      </c>
      <c r="E191" s="20">
        <v>8</v>
      </c>
      <c r="F191" s="23">
        <v>43010</v>
      </c>
      <c r="G191" s="20"/>
      <c r="H191" s="20" t="str">
        <f>CONCATENATE(Table1[[#This Row],[Order Code]],Table1[[#This Row],[NAME]])</f>
        <v>183D106 紫</v>
      </c>
    </row>
    <row r="192" spans="1:8" ht="20">
      <c r="A192" s="22">
        <v>195</v>
      </c>
      <c r="B192" s="20" t="s">
        <v>22</v>
      </c>
      <c r="C192" s="20">
        <v>282</v>
      </c>
      <c r="D192" s="20" t="s">
        <v>170</v>
      </c>
      <c r="E192" s="20">
        <v>8</v>
      </c>
      <c r="F192" s="23">
        <v>43770</v>
      </c>
      <c r="G192" s="20">
        <v>1</v>
      </c>
      <c r="H192" s="20" t="str">
        <f>CONCATENATE(Table1[[#This Row],[Order Code]],Table1[[#This Row],[NAME]])</f>
        <v>282テクノウォッシュ　N18 肌色</v>
      </c>
    </row>
    <row r="193" spans="1:8" ht="20">
      <c r="A193" s="20">
        <v>196</v>
      </c>
      <c r="B193" s="20" t="s">
        <v>22</v>
      </c>
      <c r="C193" s="20">
        <v>1103</v>
      </c>
      <c r="D193" s="20" t="s">
        <v>170</v>
      </c>
      <c r="E193" s="20">
        <v>9</v>
      </c>
      <c r="F193" s="23">
        <v>43651</v>
      </c>
      <c r="G193" s="20">
        <v>1</v>
      </c>
      <c r="H193" s="20" t="str">
        <f>CONCATENATE(Table1[[#This Row],[Order Code]],Table1[[#This Row],[NAME]])</f>
        <v>1103テクノウォッシュ　N18 肌色</v>
      </c>
    </row>
    <row r="194" spans="1:8" ht="20">
      <c r="A194" s="20">
        <v>197</v>
      </c>
      <c r="B194" s="20" t="s">
        <v>22</v>
      </c>
      <c r="C194" s="20">
        <v>381</v>
      </c>
      <c r="D194" s="20" t="s">
        <v>193</v>
      </c>
      <c r="E194" s="20">
        <v>9</v>
      </c>
      <c r="F194" s="23">
        <v>44033</v>
      </c>
      <c r="G194" s="20">
        <v>1</v>
      </c>
      <c r="H194" s="20" t="str">
        <f>CONCATENATE(Table1[[#This Row],[Order Code]],Table1[[#This Row],[NAME]])</f>
        <v>381重要用紙　失赤</v>
      </c>
    </row>
    <row r="195" spans="1:8" ht="20">
      <c r="A195" s="25">
        <v>198</v>
      </c>
      <c r="B195" s="26" t="s">
        <v>22</v>
      </c>
      <c r="C195" s="26">
        <v>381</v>
      </c>
      <c r="D195" s="26" t="s">
        <v>204</v>
      </c>
      <c r="E195" s="26">
        <v>9</v>
      </c>
      <c r="F195" s="21">
        <v>43916</v>
      </c>
      <c r="G195" s="26"/>
      <c r="H195" s="20" t="str">
        <f>CONCATENATE(Table1[[#This Row],[Order Code]],Table1[[#This Row],[NAME]])</f>
        <v>381店頭用シール　金　赤口</v>
      </c>
    </row>
    <row r="196" spans="1:8" ht="20">
      <c r="A196" s="25">
        <v>199</v>
      </c>
      <c r="B196" s="26" t="s">
        <v>22</v>
      </c>
      <c r="C196" s="26">
        <v>351</v>
      </c>
      <c r="D196" s="26" t="s">
        <v>205</v>
      </c>
      <c r="E196" s="26">
        <v>9</v>
      </c>
      <c r="F196" s="21">
        <v>44007</v>
      </c>
      <c r="G196" s="26"/>
      <c r="H196" s="20" t="str">
        <f>CONCATENATE(Table1[[#This Row],[Order Code]],Table1[[#This Row],[NAME]])</f>
        <v>351MC1000(5L) ピンク</v>
      </c>
    </row>
    <row r="197" spans="1:8" ht="20">
      <c r="A197" s="25"/>
      <c r="B197" s="26" t="s">
        <v>22</v>
      </c>
      <c r="C197" s="26">
        <v>291</v>
      </c>
      <c r="D197" s="26" t="s">
        <v>206</v>
      </c>
      <c r="E197" s="26">
        <v>9</v>
      </c>
      <c r="F197" s="21">
        <v>43997</v>
      </c>
      <c r="G197" s="26"/>
      <c r="H197" s="27" t="str">
        <f>CONCATENATE(Table1[[#This Row],[Order Code]],Table1[[#This Row],[NAME]])</f>
        <v>291CLEANTOP 水色</v>
      </c>
    </row>
    <row r="198" spans="1:8" ht="20">
      <c r="A198" s="25"/>
      <c r="B198" s="26" t="s">
        <v>22</v>
      </c>
      <c r="C198" s="26">
        <v>281</v>
      </c>
      <c r="D198" s="26" t="s">
        <v>207</v>
      </c>
      <c r="E198" s="26">
        <v>9</v>
      </c>
      <c r="F198" s="21">
        <v>43973</v>
      </c>
      <c r="G198" s="26"/>
      <c r="H198" s="27" t="str">
        <f>CONCATENATE(Table1[[#This Row],[Order Code]],Table1[[#This Row],[NAME]])</f>
        <v>281アルカチャレンジ　青</v>
      </c>
    </row>
    <row r="199" spans="1:8" ht="20">
      <c r="A199" s="25"/>
      <c r="B199" s="26" t="s">
        <v>22</v>
      </c>
      <c r="C199" s="26">
        <v>201</v>
      </c>
      <c r="D199" s="26" t="s">
        <v>235</v>
      </c>
      <c r="E199" s="26">
        <v>9</v>
      </c>
      <c r="F199" s="21">
        <v>43861</v>
      </c>
      <c r="G199" s="26"/>
      <c r="H199" s="27" t="str">
        <f>CONCATENATE(Table1[[#This Row],[Order Code]],Table1[[#This Row],[NAME]])</f>
        <v>201ユタカ花粉ホコリ　青</v>
      </c>
    </row>
    <row r="200" spans="1:8" ht="20">
      <c r="A200" s="25"/>
      <c r="B200" s="26" t="s">
        <v>214</v>
      </c>
      <c r="C200" s="26">
        <v>163</v>
      </c>
      <c r="D200" s="26" t="s">
        <v>236</v>
      </c>
      <c r="E200" s="26">
        <v>9</v>
      </c>
      <c r="F200" s="21">
        <v>43948</v>
      </c>
      <c r="G200" s="26"/>
      <c r="H200" s="27" t="str">
        <f>CONCATENATE(Table1[[#This Row],[Order Code]],Table1[[#This Row],[NAME]])</f>
        <v>163サンレックスKスカイ　緑</v>
      </c>
    </row>
    <row r="201" spans="1:8" ht="20">
      <c r="A201" s="25"/>
      <c r="B201" s="26" t="s">
        <v>22</v>
      </c>
      <c r="C201" s="26">
        <v>173</v>
      </c>
      <c r="D201" s="26" t="s">
        <v>237</v>
      </c>
      <c r="E201" s="26">
        <v>9</v>
      </c>
      <c r="F201" s="21">
        <v>44020</v>
      </c>
      <c r="G201" s="26"/>
      <c r="H201" s="27" t="str">
        <f>CONCATENATE(Table1[[#This Row],[Order Code]],Table1[[#This Row],[NAME]])</f>
        <v>173オイル交換シール　緑</v>
      </c>
    </row>
    <row r="202" spans="1:8" ht="20">
      <c r="A202" s="25"/>
      <c r="B202" s="26" t="s">
        <v>22</v>
      </c>
      <c r="C202" s="26">
        <v>302</v>
      </c>
      <c r="D202" s="26" t="s">
        <v>239</v>
      </c>
      <c r="E202" s="26">
        <v>9</v>
      </c>
      <c r="F202" s="21">
        <v>44022</v>
      </c>
      <c r="G202" s="26"/>
      <c r="H202" s="27" t="str">
        <f>CONCATENATE(Table1[[#This Row],[Order Code]],Table1[[#This Row],[NAME]])</f>
        <v>302Dー162　オレンジ</v>
      </c>
    </row>
    <row r="203" spans="1:8" ht="20">
      <c r="A203" s="25"/>
      <c r="B203" s="26" t="s">
        <v>22</v>
      </c>
      <c r="C203" s="26">
        <v>323</v>
      </c>
      <c r="D203" s="26" t="s">
        <v>121</v>
      </c>
      <c r="E203" s="26">
        <v>9</v>
      </c>
      <c r="F203" s="21">
        <v>43578</v>
      </c>
      <c r="G203" s="26"/>
      <c r="H203" s="27" t="str">
        <f>CONCATENATE(Table1[[#This Row],[Order Code]],Table1[[#This Row],[NAME]])</f>
        <v>323酸素系NA05 黄</v>
      </c>
    </row>
    <row r="204" spans="1:8" ht="20">
      <c r="A204" s="25"/>
      <c r="B204" s="26" t="s">
        <v>22</v>
      </c>
      <c r="C204" s="26">
        <v>213</v>
      </c>
      <c r="D204" s="26" t="s">
        <v>328</v>
      </c>
      <c r="E204" s="26">
        <v>9</v>
      </c>
      <c r="F204" s="21">
        <v>44007</v>
      </c>
      <c r="G204" s="26"/>
      <c r="H204" s="27" t="str">
        <f>CONCATENATE(Table1[[#This Row],[Order Code]],Table1[[#This Row],[NAME]])</f>
        <v>213テクノクリア　5LX4 青</v>
      </c>
    </row>
    <row r="205" spans="1:8" ht="20">
      <c r="A205" s="25"/>
      <c r="B205" s="26" t="s">
        <v>22</v>
      </c>
      <c r="C205" s="26">
        <v>273</v>
      </c>
      <c r="D205" s="26" t="s">
        <v>240</v>
      </c>
      <c r="E205" s="26">
        <v>1</v>
      </c>
      <c r="F205" s="21">
        <v>42676</v>
      </c>
      <c r="G205" s="26"/>
      <c r="H205" s="27" t="str">
        <f>CONCATENATE(Table1[[#This Row],[Order Code]],Table1[[#This Row],[NAME]])</f>
        <v>273何々茶</v>
      </c>
    </row>
    <row r="206" spans="1:8" ht="20">
      <c r="A206" s="25"/>
      <c r="B206" s="26" t="s">
        <v>22</v>
      </c>
      <c r="C206" s="26">
        <v>2103</v>
      </c>
      <c r="D206" s="26" t="s">
        <v>241</v>
      </c>
      <c r="E206" s="26">
        <v>9</v>
      </c>
      <c r="F206" s="21">
        <v>43917</v>
      </c>
      <c r="G206" s="26"/>
      <c r="H206" s="27" t="str">
        <f>CONCATENATE(Table1[[#This Row],[Order Code]],Table1[[#This Row],[NAME]])</f>
        <v>2103エコルセNB22 青</v>
      </c>
    </row>
    <row r="207" spans="1:8" ht="20">
      <c r="A207" s="25"/>
      <c r="B207" s="26" t="s">
        <v>22</v>
      </c>
      <c r="C207" s="26">
        <v>2103</v>
      </c>
      <c r="D207" s="26" t="s">
        <v>242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オレンジ</v>
      </c>
    </row>
    <row r="208" spans="1:8" ht="20">
      <c r="A208" s="25"/>
      <c r="B208" s="26" t="s">
        <v>22</v>
      </c>
      <c r="C208" s="26">
        <v>2103</v>
      </c>
      <c r="D208" s="26" t="s">
        <v>243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紺</v>
      </c>
    </row>
    <row r="209" spans="1:8" ht="20">
      <c r="A209" s="25"/>
      <c r="B209" s="26" t="s">
        <v>22</v>
      </c>
      <c r="C209" s="26">
        <v>353</v>
      </c>
      <c r="D209" s="26" t="s">
        <v>288</v>
      </c>
      <c r="E209" s="26">
        <v>9</v>
      </c>
      <c r="F209" s="21">
        <v>44064</v>
      </c>
      <c r="G209" s="26"/>
      <c r="H209" s="27" t="str">
        <f>CONCATENATE(Table1[[#This Row],[Order Code]],Table1[[#This Row],[NAME]])</f>
        <v>353インステゥルメントミルク　黄</v>
      </c>
    </row>
    <row r="210" spans="1:8" ht="20">
      <c r="A210" s="25"/>
      <c r="B210" s="26" t="s">
        <v>22</v>
      </c>
      <c r="C210" s="26">
        <v>102</v>
      </c>
      <c r="D210" s="26" t="s">
        <v>267</v>
      </c>
      <c r="E210" s="26">
        <v>9</v>
      </c>
      <c r="F210" s="21">
        <v>44078</v>
      </c>
      <c r="G210" s="26"/>
      <c r="H210" s="27" t="str">
        <f>CONCATENATE(Table1[[#This Row],[Order Code]],Table1[[#This Row],[NAME]])</f>
        <v>102D5-2557 緑</v>
      </c>
    </row>
    <row r="211" spans="1:8" ht="20">
      <c r="A211" s="25"/>
      <c r="B211" s="26" t="s">
        <v>22</v>
      </c>
      <c r="C211" s="26">
        <v>131</v>
      </c>
      <c r="D211" s="45" t="s">
        <v>275</v>
      </c>
      <c r="E211" s="26">
        <v>9</v>
      </c>
      <c r="F211" s="21">
        <v>44103</v>
      </c>
      <c r="G211" s="26"/>
      <c r="H211" s="27" t="str">
        <f>CONCATENATE(Table1[[#This Row],[Order Code]],Table1[[#This Row],[NAME]])</f>
        <v>131J 墨　S</v>
      </c>
    </row>
    <row r="212" spans="1:8" ht="20">
      <c r="A212" s="25"/>
      <c r="B212" s="26" t="s">
        <v>22</v>
      </c>
      <c r="C212" s="26">
        <v>131</v>
      </c>
      <c r="D212" s="26" t="s">
        <v>275</v>
      </c>
      <c r="E212" s="26">
        <v>10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193</v>
      </c>
      <c r="D214" s="26" t="s">
        <v>182</v>
      </c>
      <c r="E214" s="26">
        <v>9</v>
      </c>
      <c r="F214" s="21">
        <v>44123</v>
      </c>
      <c r="G214" s="26"/>
      <c r="H214" s="27" t="str">
        <f>CONCATENATE(Table1[[#This Row],[Order Code]],Table1[[#This Row],[NAME]])</f>
        <v>193D-224 紫</v>
      </c>
    </row>
    <row r="215" spans="1:8" ht="20">
      <c r="A215" s="25"/>
      <c r="B215" s="26" t="s">
        <v>214</v>
      </c>
      <c r="C215" s="26">
        <v>102</v>
      </c>
      <c r="D215" s="43" t="s">
        <v>291</v>
      </c>
      <c r="E215" s="26">
        <v>10</v>
      </c>
      <c r="F215" s="21">
        <v>44127</v>
      </c>
      <c r="G215" s="26"/>
      <c r="H215" s="27" t="str">
        <f>CONCATENATE(Table1[[#This Row],[Order Code]],Table1[[#This Row],[NAME]])</f>
        <v>102ユタカ　FG　草</v>
      </c>
    </row>
    <row r="216" spans="1:8" ht="20">
      <c r="A216" s="25"/>
      <c r="B216" s="26" t="s">
        <v>214</v>
      </c>
      <c r="C216" s="26">
        <v>223</v>
      </c>
      <c r="D216" s="26" t="s">
        <v>55</v>
      </c>
      <c r="E216" s="26">
        <v>10</v>
      </c>
      <c r="F216" s="21">
        <v>44176</v>
      </c>
      <c r="G216" s="26"/>
      <c r="H216" s="27" t="str">
        <f>CONCATENATE(Table1[[#This Row],[Order Code]],Table1[[#This Row],[NAME]])</f>
        <v>223D-181 青</v>
      </c>
    </row>
    <row r="217" spans="1:8" ht="20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22</v>
      </c>
      <c r="C218" s="26">
        <v>191</v>
      </c>
      <c r="D218" s="26" t="s">
        <v>319</v>
      </c>
      <c r="E218" s="26">
        <v>10</v>
      </c>
      <c r="F218" s="21">
        <v>44209</v>
      </c>
      <c r="G218" s="26"/>
      <c r="H218" s="27" t="str">
        <f>CONCATENATE(Table1[[#This Row],[Order Code]],Table1[[#This Row],[NAME]])</f>
        <v>191ユカタ　金赤</v>
      </c>
    </row>
    <row r="219" spans="1:8" ht="20">
      <c r="A219" s="25"/>
      <c r="B219" s="26" t="s">
        <v>22</v>
      </c>
      <c r="C219" s="26">
        <v>102</v>
      </c>
      <c r="D219" s="26" t="s">
        <v>377</v>
      </c>
      <c r="E219" s="26">
        <v>4</v>
      </c>
      <c r="F219" s="21" t="s">
        <v>287</v>
      </c>
      <c r="G219" s="26"/>
      <c r="H219" s="27" t="str">
        <f>CONCATENATE(Table1[[#This Row],[Order Code]],Table1[[#This Row],[NAME]])</f>
        <v>102D91 青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62" t="s">
        <v>232</v>
      </c>
      <c r="B1" s="63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  <row r="9" spans="1:2" ht="23">
      <c r="A9" s="33">
        <v>44245</v>
      </c>
      <c r="B9" s="34" t="s">
        <v>332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7DFDF-F874-C64A-92C0-615CB8B2945C}">
  <dimension ref="A4:L101"/>
  <sheetViews>
    <sheetView topLeftCell="A15" zoomScale="102" workbookViewId="0">
      <selection activeCell="A32" sqref="A32"/>
    </sheetView>
  </sheetViews>
  <sheetFormatPr baseColWidth="10" defaultColWidth="14.59765625" defaultRowHeight="23"/>
  <cols>
    <col min="1" max="1" width="19.3984375" style="51" bestFit="1" customWidth="1"/>
    <col min="2" max="2" width="7.09765625" style="51" bestFit="1" customWidth="1"/>
    <col min="3" max="4" width="11" style="51" customWidth="1"/>
    <col min="5" max="5" width="5.69921875" style="51" customWidth="1"/>
    <col min="6" max="6" width="5.8984375" style="51" customWidth="1"/>
    <col min="7" max="7" width="5.69921875" style="51" bestFit="1" customWidth="1"/>
    <col min="8" max="8" width="12.796875" style="51" customWidth="1"/>
    <col min="9" max="9" width="11.19921875" style="51" customWidth="1"/>
    <col min="10" max="10" width="16.69921875" style="53" customWidth="1"/>
    <col min="11" max="11" width="21.3984375" style="51" customWidth="1"/>
    <col min="12" max="16384" width="14.59765625" style="51"/>
  </cols>
  <sheetData>
    <row r="4" spans="1:12">
      <c r="A4" s="54" t="s">
        <v>333</v>
      </c>
      <c r="B4" s="54" t="s">
        <v>1</v>
      </c>
      <c r="C4" s="54" t="s">
        <v>363</v>
      </c>
      <c r="D4" s="54" t="s">
        <v>364</v>
      </c>
      <c r="E4" s="54" t="s">
        <v>365</v>
      </c>
      <c r="F4" s="54" t="s">
        <v>343</v>
      </c>
      <c r="G4" s="54" t="s">
        <v>342</v>
      </c>
      <c r="H4" s="54" t="s">
        <v>366</v>
      </c>
      <c r="I4" s="54" t="s">
        <v>338</v>
      </c>
      <c r="J4" s="54" t="s">
        <v>339</v>
      </c>
      <c r="K4" s="54" t="s">
        <v>334</v>
      </c>
      <c r="L4" s="54" t="s">
        <v>335</v>
      </c>
    </row>
    <row r="5" spans="1:12">
      <c r="A5" s="51" t="s">
        <v>336</v>
      </c>
      <c r="C5" s="55"/>
      <c r="D5" s="51" t="s">
        <v>287</v>
      </c>
      <c r="F5" s="51">
        <v>0</v>
      </c>
      <c r="G5" s="51">
        <v>125</v>
      </c>
      <c r="H5" s="51">
        <v>1000</v>
      </c>
      <c r="I5" s="51">
        <v>2</v>
      </c>
      <c r="J5" s="52" t="s">
        <v>340</v>
      </c>
      <c r="K5" s="53">
        <v>20210215</v>
      </c>
      <c r="L5" s="51" t="s">
        <v>287</v>
      </c>
    </row>
    <row r="6" spans="1:12">
      <c r="A6" s="51" t="s">
        <v>337</v>
      </c>
      <c r="C6" s="55"/>
      <c r="D6" s="51" t="s">
        <v>287</v>
      </c>
      <c r="F6" s="51">
        <v>0</v>
      </c>
      <c r="G6" s="51">
        <v>185</v>
      </c>
      <c r="H6" s="51">
        <v>650</v>
      </c>
      <c r="I6" s="51">
        <v>1</v>
      </c>
      <c r="J6" s="52" t="s">
        <v>340</v>
      </c>
      <c r="K6" s="53">
        <v>20210215</v>
      </c>
      <c r="L6" s="51" t="s">
        <v>287</v>
      </c>
    </row>
    <row r="7" spans="1:12">
      <c r="A7" s="51" t="s">
        <v>341</v>
      </c>
      <c r="C7" s="55"/>
      <c r="D7" s="51" t="s">
        <v>287</v>
      </c>
      <c r="F7" s="51">
        <v>0</v>
      </c>
      <c r="G7" s="51">
        <v>165</v>
      </c>
      <c r="H7" s="51">
        <v>500</v>
      </c>
      <c r="I7" s="51">
        <v>1</v>
      </c>
      <c r="J7" s="52" t="s">
        <v>287</v>
      </c>
      <c r="K7" s="53">
        <v>20210203</v>
      </c>
      <c r="L7" s="51" t="s">
        <v>287</v>
      </c>
    </row>
    <row r="8" spans="1:12">
      <c r="A8" s="51" t="s">
        <v>344</v>
      </c>
      <c r="B8" s="51">
        <v>1</v>
      </c>
      <c r="C8" s="55"/>
      <c r="D8" s="51" t="s">
        <v>287</v>
      </c>
      <c r="F8" s="51">
        <v>0</v>
      </c>
      <c r="G8" s="51">
        <v>165</v>
      </c>
      <c r="H8" s="51">
        <v>1000</v>
      </c>
      <c r="I8" s="51">
        <v>2</v>
      </c>
      <c r="J8" s="52" t="s">
        <v>287</v>
      </c>
      <c r="K8" s="53">
        <v>20210202</v>
      </c>
      <c r="L8" s="51" t="s">
        <v>287</v>
      </c>
    </row>
    <row r="9" spans="1:12">
      <c r="A9" s="51" t="s">
        <v>345</v>
      </c>
      <c r="C9" s="55"/>
      <c r="D9" s="51" t="s">
        <v>287</v>
      </c>
      <c r="F9" s="51">
        <v>0</v>
      </c>
      <c r="G9" s="51">
        <v>165</v>
      </c>
      <c r="H9" s="51">
        <v>500</v>
      </c>
      <c r="I9" s="51">
        <v>1</v>
      </c>
      <c r="J9" s="52" t="s">
        <v>340</v>
      </c>
      <c r="K9" s="53">
        <v>20210216</v>
      </c>
      <c r="L9" s="51" t="s">
        <v>287</v>
      </c>
    </row>
    <row r="10" spans="1:12">
      <c r="A10" s="51" t="s">
        <v>346</v>
      </c>
      <c r="C10" s="55"/>
      <c r="D10" s="51" t="s">
        <v>287</v>
      </c>
      <c r="F10" s="51">
        <v>0</v>
      </c>
      <c r="G10" s="51">
        <v>165</v>
      </c>
      <c r="H10" s="51">
        <v>1500</v>
      </c>
      <c r="I10" s="51">
        <v>3</v>
      </c>
      <c r="J10" s="52" t="s">
        <v>340</v>
      </c>
      <c r="K10" s="53">
        <v>20210216</v>
      </c>
      <c r="L10" s="51" t="s">
        <v>287</v>
      </c>
    </row>
    <row r="11" spans="1:12">
      <c r="A11" s="51" t="s">
        <v>347</v>
      </c>
      <c r="C11" s="55"/>
      <c r="D11" s="51" t="s">
        <v>287</v>
      </c>
      <c r="F11" s="51">
        <v>0</v>
      </c>
      <c r="G11" s="51">
        <v>165</v>
      </c>
      <c r="H11" s="51">
        <v>500</v>
      </c>
      <c r="I11" s="51">
        <v>1</v>
      </c>
      <c r="J11" s="52" t="s">
        <v>287</v>
      </c>
      <c r="K11" s="53">
        <v>20200928</v>
      </c>
      <c r="L11" s="51" t="s">
        <v>287</v>
      </c>
    </row>
    <row r="12" spans="1:12">
      <c r="A12" s="51" t="s">
        <v>348</v>
      </c>
      <c r="C12" s="55"/>
      <c r="D12" s="51" t="s">
        <v>287</v>
      </c>
      <c r="F12" s="51">
        <v>0</v>
      </c>
      <c r="G12" s="51">
        <v>165</v>
      </c>
      <c r="H12" s="51">
        <v>600</v>
      </c>
      <c r="I12" s="51">
        <v>1</v>
      </c>
      <c r="J12" s="52" t="s">
        <v>287</v>
      </c>
      <c r="K12" s="53">
        <v>20200424</v>
      </c>
      <c r="L12" s="51" t="s">
        <v>287</v>
      </c>
    </row>
    <row r="13" spans="1:12">
      <c r="A13" s="51" t="s">
        <v>349</v>
      </c>
      <c r="C13" s="55"/>
      <c r="D13" s="51" t="s">
        <v>287</v>
      </c>
      <c r="F13" s="51">
        <v>0</v>
      </c>
      <c r="G13" s="51">
        <v>165</v>
      </c>
      <c r="H13" s="51">
        <v>1500</v>
      </c>
      <c r="I13" s="51" t="s">
        <v>287</v>
      </c>
      <c r="J13" s="52" t="s">
        <v>287</v>
      </c>
      <c r="K13" s="53">
        <v>20200424</v>
      </c>
      <c r="L13" s="51" t="s">
        <v>287</v>
      </c>
    </row>
    <row r="14" spans="1:12">
      <c r="A14" s="51" t="s">
        <v>350</v>
      </c>
      <c r="C14" s="55"/>
      <c r="D14" s="51" t="s">
        <v>287</v>
      </c>
      <c r="F14" s="51">
        <v>0</v>
      </c>
      <c r="G14" s="51">
        <v>165</v>
      </c>
      <c r="H14" s="51">
        <v>600</v>
      </c>
      <c r="I14" s="51">
        <v>2</v>
      </c>
      <c r="J14" s="52" t="s">
        <v>287</v>
      </c>
      <c r="K14" s="53">
        <v>20200928</v>
      </c>
      <c r="L14" s="51" t="s">
        <v>287</v>
      </c>
    </row>
    <row r="15" spans="1:12">
      <c r="A15" s="51" t="s">
        <v>351</v>
      </c>
      <c r="C15" s="55"/>
      <c r="D15" s="51" t="s">
        <v>287</v>
      </c>
      <c r="F15" s="51">
        <v>0</v>
      </c>
      <c r="G15" s="51">
        <v>125</v>
      </c>
      <c r="H15" s="51">
        <v>600</v>
      </c>
      <c r="I15" s="51">
        <v>1</v>
      </c>
      <c r="J15" s="52" t="s">
        <v>287</v>
      </c>
      <c r="K15" s="53">
        <v>20200528</v>
      </c>
      <c r="L15" s="51" t="s">
        <v>287</v>
      </c>
    </row>
    <row r="16" spans="1:12">
      <c r="A16" s="51" t="s">
        <v>352</v>
      </c>
      <c r="C16" s="55"/>
      <c r="D16" s="51" t="s">
        <v>287</v>
      </c>
      <c r="F16" s="51">
        <v>0</v>
      </c>
      <c r="G16" s="51">
        <v>140</v>
      </c>
      <c r="H16" s="51">
        <v>500</v>
      </c>
      <c r="I16" s="51">
        <v>1</v>
      </c>
      <c r="J16" s="52" t="s">
        <v>287</v>
      </c>
      <c r="K16" s="53">
        <v>20200907</v>
      </c>
      <c r="L16" s="51" t="s">
        <v>287</v>
      </c>
    </row>
    <row r="17" spans="1:12">
      <c r="A17" s="51" t="s">
        <v>353</v>
      </c>
      <c r="C17" s="55"/>
      <c r="D17" s="51" t="s">
        <v>287</v>
      </c>
      <c r="F17" s="51">
        <v>0</v>
      </c>
      <c r="G17" s="51">
        <v>155</v>
      </c>
      <c r="H17" s="51">
        <v>1500</v>
      </c>
      <c r="I17" s="51">
        <v>3</v>
      </c>
      <c r="J17" s="52" t="s">
        <v>287</v>
      </c>
      <c r="K17" s="53">
        <v>20200924</v>
      </c>
      <c r="L17" s="51" t="s">
        <v>287</v>
      </c>
    </row>
    <row r="18" spans="1:12">
      <c r="A18" s="51" t="s">
        <v>354</v>
      </c>
      <c r="C18" s="55"/>
      <c r="D18" s="51" t="s">
        <v>287</v>
      </c>
      <c r="F18" s="51">
        <v>0</v>
      </c>
      <c r="G18" s="51">
        <v>165</v>
      </c>
      <c r="H18" s="51">
        <v>700</v>
      </c>
      <c r="I18" s="51">
        <v>1</v>
      </c>
      <c r="J18" s="52" t="s">
        <v>287</v>
      </c>
      <c r="K18" s="53">
        <v>20200830</v>
      </c>
      <c r="L18" s="51" t="s">
        <v>287</v>
      </c>
    </row>
    <row r="19" spans="1:12">
      <c r="A19" s="51" t="s">
        <v>355</v>
      </c>
      <c r="C19" s="55"/>
      <c r="D19" s="51" t="s">
        <v>287</v>
      </c>
      <c r="F19" s="51">
        <v>0</v>
      </c>
      <c r="G19" s="51">
        <v>165</v>
      </c>
      <c r="H19" s="51">
        <v>1000</v>
      </c>
      <c r="I19" s="51">
        <v>2</v>
      </c>
      <c r="J19" s="52" t="s">
        <v>287</v>
      </c>
      <c r="K19" s="53">
        <v>20201005</v>
      </c>
      <c r="L19" s="51" t="s">
        <v>287</v>
      </c>
    </row>
    <row r="20" spans="1:12">
      <c r="A20" s="51" t="s">
        <v>356</v>
      </c>
      <c r="C20" s="55"/>
      <c r="D20" s="51" t="s">
        <v>287</v>
      </c>
      <c r="F20" s="51">
        <v>0</v>
      </c>
      <c r="G20" s="51">
        <v>90</v>
      </c>
      <c r="H20" s="51" t="s">
        <v>287</v>
      </c>
      <c r="I20" s="51">
        <v>4</v>
      </c>
      <c r="J20" s="52" t="s">
        <v>287</v>
      </c>
      <c r="K20" s="53" t="s">
        <v>287</v>
      </c>
      <c r="L20" s="51" t="s">
        <v>287</v>
      </c>
    </row>
    <row r="21" spans="1:12">
      <c r="A21" s="51" t="s">
        <v>357</v>
      </c>
      <c r="C21" s="55"/>
      <c r="D21" s="51" t="s">
        <v>287</v>
      </c>
      <c r="F21" s="51">
        <v>0</v>
      </c>
      <c r="G21" s="51">
        <v>165</v>
      </c>
      <c r="H21" s="51">
        <v>1500</v>
      </c>
      <c r="I21" s="51">
        <v>3</v>
      </c>
      <c r="J21" s="52" t="s">
        <v>287</v>
      </c>
      <c r="K21" s="53">
        <v>20201012</v>
      </c>
      <c r="L21" s="51" t="s">
        <v>287</v>
      </c>
    </row>
    <row r="22" spans="1:12">
      <c r="A22" s="51" t="s">
        <v>358</v>
      </c>
      <c r="C22" s="55"/>
      <c r="D22" s="51" t="s">
        <v>287</v>
      </c>
      <c r="F22" s="51">
        <v>0</v>
      </c>
      <c r="G22" s="51">
        <v>205</v>
      </c>
      <c r="H22" s="51">
        <v>1500</v>
      </c>
      <c r="I22" s="51" t="s">
        <v>287</v>
      </c>
      <c r="J22" s="52" t="s">
        <v>287</v>
      </c>
      <c r="K22" s="53">
        <v>20200702</v>
      </c>
      <c r="L22" s="51" t="s">
        <v>287</v>
      </c>
    </row>
    <row r="23" spans="1:12">
      <c r="A23" s="51" t="s">
        <v>359</v>
      </c>
      <c r="C23" s="55"/>
      <c r="D23" s="51" t="s">
        <v>287</v>
      </c>
      <c r="F23" s="51">
        <v>0</v>
      </c>
      <c r="G23" s="51">
        <v>185</v>
      </c>
      <c r="H23" s="51">
        <v>1500</v>
      </c>
      <c r="I23" s="51" t="s">
        <v>287</v>
      </c>
      <c r="J23" s="52" t="s">
        <v>287</v>
      </c>
      <c r="K23" s="53">
        <v>20201013</v>
      </c>
      <c r="L23" s="51" t="s">
        <v>287</v>
      </c>
    </row>
    <row r="24" spans="1:12">
      <c r="A24" s="51" t="s">
        <v>360</v>
      </c>
      <c r="C24" s="55"/>
      <c r="D24" s="51" t="s">
        <v>287</v>
      </c>
      <c r="F24" s="51">
        <v>1</v>
      </c>
      <c r="G24" s="51">
        <v>185</v>
      </c>
      <c r="H24" s="51">
        <v>600</v>
      </c>
      <c r="I24" s="51">
        <v>1</v>
      </c>
      <c r="J24" s="52" t="s">
        <v>287</v>
      </c>
      <c r="K24" s="53">
        <v>20200528</v>
      </c>
      <c r="L24" s="51" t="s">
        <v>287</v>
      </c>
    </row>
    <row r="25" spans="1:12">
      <c r="A25" s="51" t="s">
        <v>361</v>
      </c>
      <c r="B25" s="51">
        <v>1</v>
      </c>
      <c r="C25" s="55"/>
      <c r="D25" s="51" t="s">
        <v>287</v>
      </c>
      <c r="F25" s="51">
        <v>1</v>
      </c>
      <c r="G25" s="51">
        <v>185</v>
      </c>
      <c r="H25" s="51">
        <v>600</v>
      </c>
      <c r="I25" s="51">
        <v>1</v>
      </c>
      <c r="J25" s="52" t="s">
        <v>287</v>
      </c>
      <c r="K25" s="53">
        <v>20200424</v>
      </c>
      <c r="L25" s="51" t="s">
        <v>287</v>
      </c>
    </row>
    <row r="26" spans="1:12">
      <c r="A26" s="51" t="s">
        <v>362</v>
      </c>
      <c r="C26" s="55">
        <v>7150</v>
      </c>
      <c r="D26" s="51">
        <v>138613</v>
      </c>
      <c r="E26" s="51">
        <v>500</v>
      </c>
      <c r="F26" s="51">
        <v>0</v>
      </c>
      <c r="G26" s="51">
        <v>165</v>
      </c>
      <c r="H26" s="51">
        <v>700</v>
      </c>
      <c r="I26" s="51">
        <v>2</v>
      </c>
      <c r="J26" s="52" t="s">
        <v>340</v>
      </c>
      <c r="K26" s="53">
        <v>20210218</v>
      </c>
      <c r="L26" s="51">
        <v>3</v>
      </c>
    </row>
    <row r="27" spans="1:12">
      <c r="A27" s="51" t="s">
        <v>367</v>
      </c>
      <c r="C27" s="55">
        <v>15400</v>
      </c>
      <c r="D27" s="51">
        <v>138612</v>
      </c>
      <c r="E27" s="51">
        <v>500</v>
      </c>
      <c r="F27" s="51">
        <v>1</v>
      </c>
      <c r="G27" s="51">
        <v>185</v>
      </c>
      <c r="H27" s="51">
        <v>550</v>
      </c>
      <c r="I27" s="51">
        <v>1</v>
      </c>
      <c r="J27" s="52" t="s">
        <v>340</v>
      </c>
      <c r="K27" s="53">
        <v>20210218</v>
      </c>
      <c r="L27" s="51">
        <v>3</v>
      </c>
    </row>
    <row r="28" spans="1:12">
      <c r="A28" s="51" t="s">
        <v>369</v>
      </c>
      <c r="C28" s="55" t="s">
        <v>287</v>
      </c>
      <c r="D28" s="51" t="s">
        <v>287</v>
      </c>
      <c r="E28" s="51">
        <v>500</v>
      </c>
      <c r="F28" s="51">
        <v>0</v>
      </c>
      <c r="G28" s="51">
        <v>205</v>
      </c>
      <c r="H28" s="51">
        <v>800</v>
      </c>
      <c r="I28" s="51">
        <v>2</v>
      </c>
      <c r="J28" s="52" t="s">
        <v>340</v>
      </c>
      <c r="K28" s="53">
        <v>20210218</v>
      </c>
      <c r="L28" s="51" t="s">
        <v>287</v>
      </c>
    </row>
    <row r="29" spans="1:12">
      <c r="A29" s="51" t="s">
        <v>373</v>
      </c>
      <c r="C29" s="55">
        <v>14300</v>
      </c>
      <c r="D29" s="51">
        <v>138616</v>
      </c>
      <c r="E29" s="51">
        <v>1000</v>
      </c>
      <c r="F29" s="51">
        <v>0</v>
      </c>
      <c r="G29" s="51">
        <v>125</v>
      </c>
      <c r="H29" s="51">
        <v>1100</v>
      </c>
      <c r="I29" s="52" t="s">
        <v>371</v>
      </c>
      <c r="J29" s="52" t="s">
        <v>340</v>
      </c>
      <c r="K29" s="53">
        <v>20210219</v>
      </c>
      <c r="L29" s="51">
        <v>3</v>
      </c>
    </row>
    <row r="30" spans="1:12">
      <c r="A30" s="51" t="s">
        <v>372</v>
      </c>
      <c r="C30" s="55">
        <v>7150</v>
      </c>
      <c r="D30" s="51">
        <v>138615</v>
      </c>
      <c r="E30" s="51">
        <v>500</v>
      </c>
      <c r="F30" s="51">
        <v>0</v>
      </c>
      <c r="G30" s="51">
        <v>125</v>
      </c>
      <c r="H30" s="51">
        <v>560</v>
      </c>
      <c r="I30" s="52" t="s">
        <v>370</v>
      </c>
      <c r="J30" s="52" t="s">
        <v>340</v>
      </c>
      <c r="K30" s="53">
        <v>20210219</v>
      </c>
      <c r="L30" s="51">
        <v>3</v>
      </c>
    </row>
    <row r="31" spans="1:12">
      <c r="A31" s="51" t="s">
        <v>375</v>
      </c>
      <c r="C31" s="55">
        <v>14300</v>
      </c>
      <c r="D31" s="51">
        <v>138622</v>
      </c>
      <c r="E31" s="51">
        <v>1000</v>
      </c>
      <c r="F31" s="51">
        <v>1</v>
      </c>
      <c r="G31" s="51">
        <v>125</v>
      </c>
      <c r="H31" s="51">
        <v>262</v>
      </c>
      <c r="I31" s="52" t="s">
        <v>370</v>
      </c>
      <c r="J31" s="52" t="s">
        <v>340</v>
      </c>
      <c r="K31" s="53">
        <v>20210225</v>
      </c>
      <c r="L31" s="51" t="s">
        <v>287</v>
      </c>
    </row>
    <row r="32" spans="1:12">
      <c r="C32" s="55"/>
      <c r="I32" s="52"/>
      <c r="J32" s="52"/>
      <c r="K32" s="53"/>
    </row>
    <row r="33" spans="9:9">
      <c r="I33" s="52"/>
    </row>
    <row r="34" spans="9:9">
      <c r="I34" s="52"/>
    </row>
    <row r="35" spans="9:9">
      <c r="I35" s="52"/>
    </row>
    <row r="36" spans="9:9">
      <c r="I36" s="52"/>
    </row>
    <row r="37" spans="9:9">
      <c r="I37" s="52"/>
    </row>
    <row r="38" spans="9:9">
      <c r="I38" s="52"/>
    </row>
    <row r="39" spans="9:9">
      <c r="I39" s="52"/>
    </row>
    <row r="40" spans="9:9">
      <c r="I40" s="52"/>
    </row>
    <row r="41" spans="9:9">
      <c r="I41" s="52"/>
    </row>
    <row r="42" spans="9:9">
      <c r="I42" s="52"/>
    </row>
    <row r="43" spans="9:9">
      <c r="I43" s="52"/>
    </row>
    <row r="44" spans="9:9">
      <c r="I44" s="52"/>
    </row>
    <row r="45" spans="9:9">
      <c r="I45" s="52"/>
    </row>
    <row r="46" spans="9:9">
      <c r="I46" s="52"/>
    </row>
    <row r="47" spans="9:9">
      <c r="I47" s="52"/>
    </row>
    <row r="48" spans="9:9">
      <c r="I48" s="52"/>
    </row>
    <row r="49" spans="9:9">
      <c r="I49" s="52"/>
    </row>
    <row r="50" spans="9:9">
      <c r="I50" s="52"/>
    </row>
    <row r="51" spans="9:9">
      <c r="I51" s="52"/>
    </row>
    <row r="52" spans="9:9">
      <c r="I52" s="52"/>
    </row>
    <row r="53" spans="9:9">
      <c r="I53" s="52"/>
    </row>
    <row r="54" spans="9:9">
      <c r="I54" s="52"/>
    </row>
    <row r="55" spans="9:9">
      <c r="I55" s="52"/>
    </row>
    <row r="56" spans="9:9">
      <c r="I56" s="52"/>
    </row>
    <row r="57" spans="9:9">
      <c r="I57" s="52"/>
    </row>
    <row r="58" spans="9:9">
      <c r="I58" s="52"/>
    </row>
    <row r="59" spans="9:9">
      <c r="I59" s="52"/>
    </row>
    <row r="60" spans="9:9">
      <c r="I60" s="52"/>
    </row>
    <row r="61" spans="9:9">
      <c r="I61" s="52"/>
    </row>
    <row r="62" spans="9:9">
      <c r="I62" s="52"/>
    </row>
    <row r="63" spans="9:9">
      <c r="I63" s="52"/>
    </row>
    <row r="64" spans="9:9">
      <c r="I64" s="52"/>
    </row>
    <row r="65" spans="9:9">
      <c r="I65" s="52"/>
    </row>
    <row r="66" spans="9:9">
      <c r="I66" s="52"/>
    </row>
    <row r="67" spans="9:9">
      <c r="I67" s="52"/>
    </row>
    <row r="68" spans="9:9">
      <c r="I68" s="52"/>
    </row>
    <row r="69" spans="9:9">
      <c r="I69" s="52"/>
    </row>
    <row r="70" spans="9:9">
      <c r="I70" s="52"/>
    </row>
    <row r="71" spans="9:9">
      <c r="I71" s="52"/>
    </row>
    <row r="72" spans="9:9">
      <c r="I72" s="52"/>
    </row>
    <row r="73" spans="9:9">
      <c r="I73" s="52"/>
    </row>
    <row r="74" spans="9:9">
      <c r="I74" s="52"/>
    </row>
    <row r="75" spans="9:9">
      <c r="I75" s="52"/>
    </row>
    <row r="76" spans="9:9">
      <c r="I76" s="52"/>
    </row>
    <row r="77" spans="9:9">
      <c r="I77" s="52"/>
    </row>
    <row r="78" spans="9:9">
      <c r="I78" s="52"/>
    </row>
    <row r="79" spans="9:9">
      <c r="I79" s="52"/>
    </row>
    <row r="80" spans="9:9">
      <c r="I80" s="52"/>
    </row>
    <row r="81" spans="9:9">
      <c r="I81" s="52"/>
    </row>
    <row r="82" spans="9:9">
      <c r="I82" s="52"/>
    </row>
    <row r="83" spans="9:9">
      <c r="I83" s="52"/>
    </row>
    <row r="84" spans="9:9">
      <c r="I84" s="52"/>
    </row>
    <row r="85" spans="9:9">
      <c r="I85" s="52"/>
    </row>
    <row r="86" spans="9:9">
      <c r="I86" s="52"/>
    </row>
    <row r="87" spans="9:9">
      <c r="I87" s="52"/>
    </row>
    <row r="88" spans="9:9">
      <c r="I88" s="52"/>
    </row>
    <row r="89" spans="9:9">
      <c r="I89" s="52"/>
    </row>
    <row r="90" spans="9:9">
      <c r="I90" s="52"/>
    </row>
    <row r="91" spans="9:9">
      <c r="I91" s="52"/>
    </row>
    <row r="92" spans="9:9">
      <c r="I92" s="52"/>
    </row>
    <row r="93" spans="9:9">
      <c r="I93" s="52"/>
    </row>
    <row r="94" spans="9:9">
      <c r="I94" s="52"/>
    </row>
    <row r="95" spans="9:9">
      <c r="I95" s="52"/>
    </row>
    <row r="96" spans="9:9">
      <c r="I96" s="52"/>
    </row>
    <row r="97" spans="9:9">
      <c r="I97" s="52"/>
    </row>
    <row r="98" spans="9:9">
      <c r="I98" s="52"/>
    </row>
    <row r="99" spans="9:9">
      <c r="I99" s="52"/>
    </row>
    <row r="100" spans="9:9">
      <c r="I100" s="52"/>
    </row>
    <row r="101" spans="9:9">
      <c r="I101" s="5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PaperSummary</vt:lpstr>
      <vt:lpstr>Paper</vt:lpstr>
      <vt:lpstr>INK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2021-03-09T05:01:40Z</dcterms:modified>
</cp:coreProperties>
</file>