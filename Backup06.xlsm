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2D7600C8-D76D-1248-BB4F-9C42C09C0E80}" xr6:coauthVersionLast="46" xr6:coauthVersionMax="46" xr10:uidLastSave="{00000000-0000-0000-0000-000000000000}"/>
  <bookViews>
    <workbookView xWindow="0" yWindow="500" windowWidth="25600" windowHeight="13900" xr2:uid="{00000000-000D-0000-FFFF-FFFF00000000}"/>
  </bookViews>
  <sheets>
    <sheet name="PaperSummary" sheetId="327" r:id="rId1"/>
    <sheet name="Paper" sheetId="2" r:id="rId2"/>
    <sheet name="INK" sheetId="3" r:id="rId3"/>
    <sheet name="Others" sheetId="265" r:id="rId4"/>
    <sheet name="Change Log" sheetId="109" r:id="rId5"/>
    <sheet name="STD not has INK" sheetId="4" state="hidden" r:id="rId6"/>
    <sheet name="STD" sheetId="5" state="hidden" r:id="rId7"/>
  </sheets>
  <functionGroups builtInGroupCount="19"/>
  <definedNames>
    <definedName name="_xlnm._FilterDatabase" localSheetId="2" hidden="1">INK!$A$5:$G$239</definedName>
    <definedName name="_xlnm._FilterDatabase" localSheetId="1" hidden="1">Paper!$A$5:$J$163</definedName>
    <definedName name="_xlnm._FilterDatabase" localSheetId="6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8"/>
  </pivotCaches>
</workbook>
</file>

<file path=xl/calcChain.xml><?xml version="1.0" encoding="utf-8"?>
<calcChain xmlns="http://schemas.openxmlformats.org/spreadsheetml/2006/main">
  <c r="G163" i="2" l="1"/>
  <c r="I163" i="2" s="1"/>
  <c r="K163" i="2"/>
  <c r="G162" i="2"/>
  <c r="I162" i="2" s="1"/>
  <c r="K162" i="2"/>
  <c r="G161" i="2"/>
  <c r="I161" i="2" s="1"/>
  <c r="K161" i="2"/>
  <c r="B1" i="327"/>
  <c r="G160" i="2" l="1"/>
  <c r="I160" i="2" s="1"/>
  <c r="K160" i="2"/>
  <c r="G159" i="2"/>
  <c r="I159" i="2" s="1"/>
  <c r="K159" i="2"/>
  <c r="G158" i="2" l="1"/>
  <c r="I158" i="2" s="1"/>
  <c r="K158" i="2"/>
  <c r="G157" i="2" l="1"/>
  <c r="I157" i="2" s="1"/>
  <c r="K157" i="2"/>
  <c r="G156" i="2"/>
  <c r="I156" i="2" s="1"/>
  <c r="K156" i="2"/>
  <c r="G155" i="2"/>
  <c r="I155" i="2" s="1"/>
  <c r="K155" i="2"/>
  <c r="G154" i="2"/>
  <c r="I154" i="2" s="1"/>
  <c r="K154" i="2"/>
  <c r="G153" i="2"/>
  <c r="I153" i="2" s="1"/>
  <c r="K153" i="2"/>
  <c r="G152" i="2"/>
  <c r="I152" i="2" s="1"/>
  <c r="K152" i="2"/>
  <c r="G151" i="2"/>
  <c r="I151" i="2" s="1"/>
  <c r="K151" i="2"/>
  <c r="G150" i="2" l="1"/>
  <c r="I150" i="2" s="1"/>
  <c r="K150" i="2"/>
  <c r="G149" i="2"/>
  <c r="I149" i="2" s="1"/>
  <c r="K149" i="2"/>
  <c r="G148" i="2"/>
  <c r="I148" i="2" s="1"/>
  <c r="K148" i="2"/>
  <c r="G147" i="2"/>
  <c r="I147" i="2" s="1"/>
  <c r="K147" i="2"/>
  <c r="G146" i="2"/>
  <c r="I146" i="2" s="1"/>
  <c r="K146" i="2"/>
  <c r="G145" i="2"/>
  <c r="I145" i="2" s="1"/>
  <c r="K145" i="2"/>
  <c r="G144" i="2"/>
  <c r="I144" i="2" s="1"/>
  <c r="K144" i="2"/>
  <c r="G143" i="2"/>
  <c r="I143" i="2" s="1"/>
  <c r="K143" i="2"/>
  <c r="G142" i="2" l="1"/>
  <c r="I142" i="2" s="1"/>
  <c r="K142" i="2"/>
  <c r="F3" i="3"/>
  <c r="G141" i="2" l="1"/>
  <c r="I141" i="2" s="1"/>
  <c r="K141" i="2"/>
  <c r="G140" i="2" l="1"/>
  <c r="I140" i="2" s="1"/>
  <c r="K140" i="2"/>
  <c r="G139" i="2" l="1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/>
  <c r="I134" i="2" s="1"/>
  <c r="K134" i="2"/>
  <c r="G133" i="2" l="1"/>
  <c r="I133" i="2" s="1"/>
  <c r="K133" i="2"/>
  <c r="G20" i="2" l="1"/>
  <c r="G132" i="2" l="1"/>
  <c r="I132" i="2" s="1"/>
  <c r="K132" i="2"/>
  <c r="G131" i="2"/>
  <c r="I131" i="2" s="1"/>
  <c r="K131" i="2"/>
  <c r="G130" i="2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 l="1"/>
  <c r="I126" i="2" s="1"/>
  <c r="K126" i="2"/>
  <c r="G125" i="2"/>
  <c r="I125" i="2" s="1"/>
  <c r="K125" i="2"/>
  <c r="G124" i="2"/>
  <c r="I124" i="2" s="1"/>
  <c r="K124" i="2"/>
  <c r="G123" i="2"/>
  <c r="I123" i="2" s="1"/>
  <c r="K123" i="2"/>
  <c r="G122" i="2" l="1"/>
  <c r="I122" i="2" s="1"/>
  <c r="K122" i="2"/>
  <c r="G121" i="2"/>
  <c r="I121" i="2" s="1"/>
  <c r="K121" i="2"/>
  <c r="G120" i="2"/>
  <c r="I120" i="2" s="1"/>
  <c r="K120" i="2"/>
  <c r="G119" i="2" l="1"/>
  <c r="I119" i="2" s="1"/>
  <c r="K119" i="2"/>
  <c r="G118" i="2"/>
  <c r="I118" i="2" s="1"/>
  <c r="K118" i="2"/>
  <c r="G117" i="2"/>
  <c r="I117" i="2" s="1"/>
  <c r="K117" i="2"/>
  <c r="G116" i="2" l="1"/>
  <c r="I116" i="2" s="1"/>
  <c r="K116" i="2"/>
  <c r="G115" i="2"/>
  <c r="I115" i="2" s="1"/>
  <c r="K115" i="2"/>
  <c r="G114" i="2"/>
  <c r="I114" i="2" s="1"/>
  <c r="K114" i="2"/>
  <c r="G113" i="2"/>
  <c r="I113" i="2" s="1"/>
  <c r="K113" i="2"/>
  <c r="G112" i="2" l="1"/>
  <c r="I112" i="2" s="1"/>
  <c r="K112" i="2"/>
  <c r="G111" i="2" l="1"/>
  <c r="I111" i="2" s="1"/>
  <c r="K111" i="2"/>
  <c r="G110" i="2"/>
  <c r="I110" i="2" s="1"/>
  <c r="K110" i="2"/>
  <c r="G109" i="2"/>
  <c r="I109" i="2" s="1"/>
  <c r="K109" i="2"/>
  <c r="G108" i="2" l="1"/>
  <c r="I108" i="2" s="1"/>
  <c r="K108" i="2"/>
  <c r="G107" i="2" l="1"/>
  <c r="I107" i="2" s="1"/>
  <c r="K107" i="2"/>
  <c r="G106" i="2"/>
  <c r="I106" i="2" s="1"/>
  <c r="K106" i="2"/>
  <c r="G105" i="2" l="1"/>
  <c r="I105" i="2" s="1"/>
  <c r="K105" i="2"/>
  <c r="G101" i="2" l="1"/>
  <c r="G104" i="2" l="1"/>
  <c r="I104" i="2" s="1"/>
  <c r="K104" i="2"/>
  <c r="G103" i="2"/>
  <c r="I103" i="2" s="1"/>
  <c r="K103" i="2"/>
  <c r="G102" i="2"/>
  <c r="I102" i="2" s="1"/>
  <c r="K102" i="2"/>
  <c r="I101" i="2"/>
  <c r="K101" i="2"/>
  <c r="G100" i="2"/>
  <c r="I100" i="2" s="1"/>
  <c r="K100" i="2"/>
  <c r="G99" i="2" l="1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/>
  <c r="I94" i="2" s="1"/>
  <c r="K94" i="2"/>
  <c r="G93" i="2" l="1"/>
  <c r="I93" i="2" s="1"/>
  <c r="K93" i="2"/>
  <c r="G92" i="2"/>
  <c r="K92" i="2"/>
  <c r="G91" i="2"/>
  <c r="I91" i="2" s="1"/>
  <c r="K91" i="2"/>
  <c r="G90" i="2"/>
  <c r="I90" i="2" s="1"/>
  <c r="K90" i="2"/>
  <c r="G89" i="2"/>
  <c r="I89" i="2" s="1"/>
  <c r="K89" i="2"/>
  <c r="I92" i="2" l="1"/>
  <c r="G88" i="2"/>
  <c r="I88" i="2" s="1"/>
  <c r="K88" i="2"/>
  <c r="G87" i="2"/>
  <c r="I87" i="2" s="1"/>
  <c r="K87" i="2"/>
  <c r="G86" i="2" l="1"/>
  <c r="I86" i="2" s="1"/>
  <c r="K86" i="2"/>
  <c r="G85" i="2" l="1"/>
  <c r="I85" i="2" s="1"/>
  <c r="K85" i="2"/>
  <c r="G82" i="2" l="1"/>
  <c r="I82" i="2" s="1"/>
  <c r="G83" i="2"/>
  <c r="I83" i="2" s="1"/>
  <c r="G84" i="2"/>
  <c r="I84" i="2" s="1"/>
  <c r="K84" i="2"/>
  <c r="K83" i="2"/>
  <c r="K82" i="2"/>
  <c r="G81" i="2"/>
  <c r="I81" i="2" s="1"/>
  <c r="K81" i="2"/>
  <c r="G80" i="2" l="1"/>
  <c r="I80" i="2" s="1"/>
  <c r="K80" i="2"/>
  <c r="G79" i="2" l="1"/>
  <c r="I79" i="2" s="1"/>
  <c r="K79" i="2"/>
  <c r="G77" i="2" l="1"/>
  <c r="I77" i="2" s="1"/>
  <c r="G76" i="2"/>
  <c r="I76" i="2" s="1"/>
  <c r="G78" i="2"/>
  <c r="I78" i="2" s="1"/>
  <c r="K78" i="2"/>
  <c r="K77" i="2"/>
  <c r="K76" i="2"/>
  <c r="G75" i="2" l="1"/>
  <c r="I75" i="2" s="1"/>
  <c r="K75" i="2"/>
  <c r="G74" i="2"/>
  <c r="I74" i="2" s="1"/>
  <c r="K74" i="2"/>
  <c r="G73" i="2"/>
  <c r="I73" i="2" s="1"/>
  <c r="K73" i="2"/>
  <c r="G72" i="2" l="1"/>
  <c r="I72" i="2" s="1"/>
  <c r="K72" i="2"/>
  <c r="G70" i="2" l="1"/>
  <c r="I70" i="2" s="1"/>
  <c r="G71" i="2"/>
  <c r="I71" i="2" s="1"/>
  <c r="K71" i="2"/>
  <c r="K70" i="2"/>
  <c r="G69" i="2"/>
  <c r="I69" i="2" s="1"/>
  <c r="K69" i="2"/>
  <c r="G68" i="2"/>
  <c r="I68" i="2" s="1"/>
  <c r="K68" i="2"/>
  <c r="G67" i="2"/>
  <c r="I67" i="2" s="1"/>
  <c r="K67" i="2"/>
  <c r="H60" i="2" l="1"/>
  <c r="G66" i="2" l="1"/>
  <c r="I66" i="2" s="1"/>
  <c r="K66" i="2"/>
  <c r="G65" i="2"/>
  <c r="I65" i="2" s="1"/>
  <c r="K65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<sst xmlns="http://schemas.openxmlformats.org/spreadsheetml/2006/main" count="977" uniqueCount="333">
  <si>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</si>
  <si>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</si>
  <si>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</si>
  <si>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</si>
  <si>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</si>
  <si>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</si>
  <si>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</si>
  <si>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</si>
  <si>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</si>
  <si>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</si>
  <si>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</si>
  <si>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</si>
  <si>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</si>
  <si>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</si>
  <si>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</si>
  <si>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</si>
  <si>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</si>
  <si>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</si>
  <si>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</si>
  <si>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</si>
  <si>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</si>
  <si>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</si>
  <si>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</si>
  <si>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</si>
  <si>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</si>
  <si>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</si>
  <si>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</si>
  <si>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</si>
  <si>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</si>
  <si>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</si>
  <si>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</si>
  <si>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</si>
  <si>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</si>
  <si>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</si>
  <si>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</si>
  <si>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</si>
  <si>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</si>
  <si>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</si>
  <si>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</si>
  <si>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</si>
  <si>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</si>
  <si>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</si>
  <si>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</si>
  <si>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</si>
  <si>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</si>
  <si>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</si>
  <si>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</si>
  <si>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</si>
  <si>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</si>
  <si>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</si>
  <si>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</si>
  <si>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</si>
  <si>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</si>
  <si>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</si>
  <si>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</si>
  <si>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</si>
  <si>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</si>
  <si>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</si>
  <si>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</si>
  <si>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</si>
  <si>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</si>
  <si>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</si>
  <si>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</si>
  <si>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</si>
  <si>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</si>
  <si>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</si>
  <si>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</si>
  <si>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</si>
  <si>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</si>
  <si>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</si>
  <si>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</si>
  <si>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</si>
  <si>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</si>
  <si>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</si>
  <si>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</si>
  <si>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</si>
  <si>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</si>
  <si>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</si>
  <si>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</si>
  <si>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</si>
  <si>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</si>
  <si>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</si>
  <si>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</si>
  <si>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</si>
  <si>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</si>
  <si>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</si>
  <si>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</si>
  <si>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</si>
  <si>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</si>
  <si>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</si>
  <si>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</si>
  <si>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</si>
  <si>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</si>
  <si>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</si>
  <si>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</si>
  <si>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</si>
  <si>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</si>
  <si>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</si>
  <si>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</si>
  <si>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</si>
  <si>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</si>
  <si>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</si>
  <si>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</si>
  <si>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</si>
  <si>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</si>
  <si>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</si>
  <si>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</si>
  <si>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</si>
  <si>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</si>
  <si>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</si>
  <si>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</si>
  <si>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</si>
  <si>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</si>
  <si>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</si>
  <si>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</si>
  <si>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</si>
  <si>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</si>
  <si>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</si>
  <si>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</si>
  <si>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</si>
  <si>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</si>
  <si>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</si>
  <si>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</si>
  <si>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</si>
  <si>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</si>
  <si>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</si>
  <si>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</si>
  <si>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</si>
  <si>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</si>
  <si>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</si>
  <si>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</si>
  <si>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</si>
  <si>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</si>
  <si>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</si>
  <si>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</si>
  <si>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</si>
  <si>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</si>
  <si>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</si>
  <si>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</si>
  <si>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</si>
  <si>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</si>
  <si>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</si>
  <si>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</si>
  <si>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</si>
  <si>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</si>
  <si>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</si>
  <si>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</si>
  <si>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</si>
  <si>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</si>
  <si>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</si>
  <si>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</si>
  <si>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</si>
  <si>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</si>
  <si>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</si>
  <si>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</si>
  <si>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</si>
  <si>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</si>
  <si>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</si>
  <si>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</si>
  <si>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</si>
  <si>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</si>
  <si>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</si>
  <si>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</si>
  <si>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</si>
  <si>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</si>
  <si>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</si>
  <si>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</si>
  <si>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</si>
  <si>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</si>
  <si>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</si>
  <si>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</si>
  <si>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</si>
  <si>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</si>
  <si>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</si>
  <si>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</si>
  <si>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</si>
  <si>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</si>
  <si>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</si>
  <si>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</si>
  <si>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</si>
  <si>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</si>
  <si>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</si>
  <si>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</si>
  <si>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</si>
  <si>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</si>
  <si>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</si>
  <si>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</si>
  <si>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</si>
  <si>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</si>
  <si>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</si>
  <si>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</si>
  <si>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</si>
  <si>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</si>
  <si>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</si>
  <si>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</si>
  <si>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</si>
  <si>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</si>
  <si>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</si>
  <si>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</si>
  <si>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</si>
  <si>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</si>
  <si>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</si>
  <si>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</si>
  <si>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</si>
  <si>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</si>
  <si>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</si>
  <si>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</si>
  <si>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</si>
  <si>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</si>
  <si>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</si>
  <si>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</si>
  <si>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</si>
  <si>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</si>
  <si>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</si>
  <si>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</si>
  <si>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</si>
  <si>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</si>
  <si>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</si>
  <si>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</si>
  <si>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</si>
  <si>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</si>
  <si>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</si>
  <si>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</si>
  <si>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</si>
  <si>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</si>
  <si>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</si>
  <si>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</si>
  <si>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</si>
  <si>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</si>
  <si>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</si>
  <si>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</si>
  <si>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</si>
  <si>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</si>
  <si>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</si>
  <si>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</si>
  <si>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</si>
  <si>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</si>
  <si>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</si>
  <si>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</si>
  <si>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</si>
  <si>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</si>
  <si>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</si>
  <si>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</si>
  <si>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</si>
  <si>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</si>
  <si>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</si>
  <si>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</si>
  <si>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</si>
  <si>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</si>
  <si>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</si>
  <si>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</si>
  <si>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</si>
  <si>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</si>
  <si>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</si>
  <si>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</si>
  <si>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</si>
  <si>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</si>
  <si>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</si>
  <si>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</si>
  <si>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</si>
  <si>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</si>
  <si>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</si>
  <si>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</si>
  <si>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</si>
  <si>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</si>
  <si>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</si>
  <si>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</si>
  <si>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</si>
  <si>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</si>
  <si>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</si>
  <si>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</si>
  <si>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</si>
  <si>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</si>
  <si>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</si>
  <si>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</si>
  <si>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</si>
  <si>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</si>
  <si>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</si>
  <si>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</si>
  <si>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</si>
  <si>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</si>
  <si>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</si>
  <si>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</si>
  <si>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</si>
  <si>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</si>
  <si>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</si>
  <si>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</si>
  <si>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</si>
  <si>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</si>
  <si>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</si>
  <si>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</si>
  <si>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</si>
  <si>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</si>
  <si>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</si>
  <si>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</si>
  <si>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</si>
  <si>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</si>
  <si>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</si>
  <si>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</si>
  <si>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</si>
  <si>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</si>
  <si>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</si>
  <si>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</si>
  <si>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</si>
  <si>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</si>
  <si>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</si>
  <si>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</si>
  <si>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</si>
  <si>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</si>
  <si>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</si>
  <si>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</si>
  <si>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</si>
  <si>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</si>
  <si>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</si>
  <si>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</si>
  <si>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</si>
  <si>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</si>
  <si>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</si>
  <si>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</si>
  <si>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</si>
  <si>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</si>
  <si>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</si>
  <si>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</si>
  <si>
    <t>2/2/2021</t>
  </si>
  <si>
    <t>2/1/2021</t>
  </si>
  <si>
    <t>PET50Sマット MP1 110HS</t>
  </si>
  <si>
    <t>1/25/2021</t>
  </si>
  <si>
    <t>6/4/2019</t>
  </si>
  <si>
    <t>テクノクリア　5LX4 青</t>
  </si>
  <si>
    <t>2/5/2021</t>
  </si>
  <si>
    <t>2/10/2021</t>
  </si>
  <si>
    <t>2/12/2021</t>
  </si>
  <si>
    <t>165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</si>
</sst>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yy\ h:mm\ AM/PM;@"/>
    <numFmt numFmtId="165" formatCode="[$-409]m/d/yy\ h:mm\ AM/PM;@"/>
    <numFmt numFmtId="166" formatCode="yyyy\-mm\-dd;@"/>
    <numFmt numFmtId="167" formatCode="m/d/yy\ h:mm;@"/>
  </numFmts>
  <fonts count="19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39">
    <dxf>
      <border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45.373987268518" createdVersion="3" refreshedVersion="6" minRefreshableVersion="3" recordCount="157" xr:uid="{6914F748-4BC3-F34E-B467-E4F2539532F3}">
  <cacheSource type="worksheet">
    <worksheetSource ref="A5:K162" sheet="Paper"/>
  </cacheSource>
  <cacheFields count="11">
    <cacheField name="Arrival" numFmtId="49">
      <sharedItems count="64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  <s v="2/2/2021"/>
        <s v="2/1/2021"/>
        <s v="1/25/2021"/>
        <s v="6/4/2019"/>
        <s v="2/5/2021"/>
        <s v="2/10/2021"/>
        <s v="2/12/2021"/>
      </sharedItems>
    </cacheField>
    <cacheField name="Specs" numFmtId="0">
      <sharedItems count="14">
        <s v="y ユポ80 MDN 8GB"/>
        <s v="j 上質"/>
        <s v="Nキャスト&lt;73&gt;ME80E"/>
        <s v="PET50Sマット MP1 110HS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20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  <n v="1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0" maxValue="1000" count="21">
        <n v="600"/>
        <m/>
        <n v="0"/>
        <n v="400"/>
        <n v="550"/>
        <n v="500"/>
        <n v="570"/>
        <n v="180"/>
        <n v="70"/>
        <n v="300"/>
        <n v="480"/>
        <n v="580"/>
        <n v="585"/>
        <n v="380"/>
        <n v="10"/>
        <n v="250"/>
        <n v="80"/>
        <n v="1000"/>
        <n v="200"/>
        <n v="100"/>
        <n v="120"/>
      </sharedItems>
    </cacheField>
    <cacheField name="Remaining" numFmtId="0">
      <sharedItems containsSemiMixedTypes="0" containsString="0" containsNumber="1" containsInteger="1" minValue="0" maxValue="1200" count="20">
        <n v="0"/>
        <n v="600"/>
        <n v="1200"/>
        <n v="200"/>
        <n v="50"/>
        <n v="100"/>
        <n v="300"/>
        <n v="30"/>
        <n v="20"/>
        <n v="130"/>
        <n v="120"/>
        <n v="60"/>
        <n v="400"/>
        <n v="15"/>
        <n v="80"/>
        <n v="290"/>
        <n v="500"/>
        <n v="350"/>
        <n v="520"/>
        <n v="1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9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 MP1 110HS90"/>
        <s v="Nキャスト&lt;73&gt;ME80E90"/>
        <s v="j 上質55 ME 80E90"/>
        <s v="j 上質90"/>
        <s v="IJPマットコート135"/>
        <s v="y ユポ80 MDN 8GB205i 一本刃"/>
        <s v="PET50Sマット MP1 110HS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  <s v="PET50Sマット MP1 110HS110"/>
        <s v="PET50Sマット MP1 110HS1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7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2"/>
    <x v="1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3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4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5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6"/>
    <x v="7"/>
    <x v="2"/>
    <x v="6"/>
  </r>
  <r>
    <x v="12"/>
    <x v="3"/>
    <x v="3"/>
    <x v="1"/>
    <x v="2"/>
    <x v="0"/>
    <x v="3"/>
    <x v="7"/>
    <x v="8"/>
    <x v="0"/>
    <x v="13"/>
  </r>
  <r>
    <x v="12"/>
    <x v="3"/>
    <x v="3"/>
    <x v="1"/>
    <x v="2"/>
    <x v="0"/>
    <x v="3"/>
    <x v="8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9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5"/>
    <x v="2"/>
    <x v="15"/>
  </r>
  <r>
    <x v="12"/>
    <x v="0"/>
    <x v="3"/>
    <x v="1"/>
    <x v="0"/>
    <x v="0"/>
    <x v="0"/>
    <x v="10"/>
    <x v="10"/>
    <x v="1"/>
    <x v="4"/>
  </r>
  <r>
    <x v="12"/>
    <x v="1"/>
    <x v="3"/>
    <x v="1"/>
    <x v="0"/>
    <x v="0"/>
    <x v="0"/>
    <x v="5"/>
    <x v="5"/>
    <x v="1"/>
    <x v="16"/>
  </r>
  <r>
    <x v="12"/>
    <x v="1"/>
    <x v="3"/>
    <x v="1"/>
    <x v="0"/>
    <x v="0"/>
    <x v="0"/>
    <x v="10"/>
    <x v="10"/>
    <x v="1"/>
    <x v="16"/>
  </r>
  <r>
    <x v="12"/>
    <x v="1"/>
    <x v="3"/>
    <x v="1"/>
    <x v="0"/>
    <x v="0"/>
    <x v="0"/>
    <x v="9"/>
    <x v="6"/>
    <x v="1"/>
    <x v="16"/>
  </r>
  <r>
    <x v="12"/>
    <x v="1"/>
    <x v="3"/>
    <x v="1"/>
    <x v="0"/>
    <x v="0"/>
    <x v="0"/>
    <x v="11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1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5"/>
    <x v="1"/>
    <x v="22"/>
  </r>
  <r>
    <x v="12"/>
    <x v="7"/>
    <x v="12"/>
    <x v="1"/>
    <x v="0"/>
    <x v="0"/>
    <x v="0"/>
    <x v="12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3"/>
    <x v="8"/>
    <x v="2"/>
    <x v="23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3"/>
    <x v="8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9"/>
    <x v="0"/>
    <x v="0"/>
    <x v="14"/>
  </r>
  <r>
    <x v="30"/>
    <x v="2"/>
    <x v="8"/>
    <x v="1"/>
    <x v="1"/>
    <x v="0"/>
    <x v="2"/>
    <x v="14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3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0"/>
    <x v="0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5"/>
    <x v="5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6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4"/>
    <x v="4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0"/>
    <x v="0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7"/>
    <x v="0"/>
    <x v="0"/>
    <x v="34"/>
  </r>
  <r>
    <x v="47"/>
    <x v="0"/>
    <x v="16"/>
    <x v="1"/>
    <x v="0"/>
    <x v="0"/>
    <x v="0"/>
    <x v="9"/>
    <x v="6"/>
    <x v="0"/>
    <x v="26"/>
  </r>
  <r>
    <x v="48"/>
    <x v="0"/>
    <x v="4"/>
    <x v="1"/>
    <x v="0"/>
    <x v="0"/>
    <x v="0"/>
    <x v="3"/>
    <x v="3"/>
    <x v="0"/>
    <x v="9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0"/>
    <x v="0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8"/>
    <x v="12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6"/>
    <x v="7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0"/>
    <x v="0"/>
    <x v="0"/>
    <x v="8"/>
  </r>
  <r>
    <x v="54"/>
    <x v="0"/>
    <x v="8"/>
    <x v="1"/>
    <x v="0"/>
    <x v="0"/>
    <x v="0"/>
    <x v="0"/>
    <x v="0"/>
    <x v="0"/>
    <x v="12"/>
  </r>
  <r>
    <x v="55"/>
    <x v="0"/>
    <x v="7"/>
    <x v="1"/>
    <x v="0"/>
    <x v="0"/>
    <x v="0"/>
    <x v="0"/>
    <x v="0"/>
    <x v="0"/>
    <x v="8"/>
  </r>
  <r>
    <x v="55"/>
    <x v="0"/>
    <x v="6"/>
    <x v="1"/>
    <x v="0"/>
    <x v="0"/>
    <x v="0"/>
    <x v="0"/>
    <x v="0"/>
    <x v="0"/>
    <x v="10"/>
  </r>
  <r>
    <x v="55"/>
    <x v="0"/>
    <x v="7"/>
    <x v="1"/>
    <x v="0"/>
    <x v="0"/>
    <x v="0"/>
    <x v="0"/>
    <x v="0"/>
    <x v="0"/>
    <x v="8"/>
  </r>
  <r>
    <x v="56"/>
    <x v="6"/>
    <x v="12"/>
    <x v="1"/>
    <x v="0"/>
    <x v="0"/>
    <x v="0"/>
    <x v="0"/>
    <x v="0"/>
    <x v="0"/>
    <x v="21"/>
  </r>
  <r>
    <x v="56"/>
    <x v="0"/>
    <x v="8"/>
    <x v="1"/>
    <x v="0"/>
    <x v="0"/>
    <x v="0"/>
    <x v="0"/>
    <x v="0"/>
    <x v="0"/>
    <x v="12"/>
  </r>
  <r>
    <x v="56"/>
    <x v="6"/>
    <x v="12"/>
    <x v="1"/>
    <x v="0"/>
    <x v="0"/>
    <x v="0"/>
    <x v="4"/>
    <x v="4"/>
    <x v="0"/>
    <x v="21"/>
  </r>
  <r>
    <x v="56"/>
    <x v="0"/>
    <x v="8"/>
    <x v="1"/>
    <x v="0"/>
    <x v="0"/>
    <x v="0"/>
    <x v="0"/>
    <x v="0"/>
    <x v="0"/>
    <x v="12"/>
  </r>
  <r>
    <x v="57"/>
    <x v="0"/>
    <x v="4"/>
    <x v="0"/>
    <x v="0"/>
    <x v="0"/>
    <x v="0"/>
    <x v="3"/>
    <x v="3"/>
    <x v="0"/>
    <x v="5"/>
  </r>
  <r>
    <x v="58"/>
    <x v="3"/>
    <x v="19"/>
    <x v="1"/>
    <x v="2"/>
    <x v="0"/>
    <x v="3"/>
    <x v="1"/>
    <x v="3"/>
    <x v="0"/>
    <x v="37"/>
  </r>
  <r>
    <x v="58"/>
    <x v="3"/>
    <x v="19"/>
    <x v="1"/>
    <x v="5"/>
    <x v="0"/>
    <x v="6"/>
    <x v="1"/>
    <x v="12"/>
    <x v="0"/>
    <x v="37"/>
  </r>
  <r>
    <x v="59"/>
    <x v="0"/>
    <x v="0"/>
    <x v="0"/>
    <x v="0"/>
    <x v="0"/>
    <x v="0"/>
    <x v="19"/>
    <x v="16"/>
    <x v="0"/>
    <x v="0"/>
  </r>
  <r>
    <x v="59"/>
    <x v="0"/>
    <x v="7"/>
    <x v="1"/>
    <x v="0"/>
    <x v="0"/>
    <x v="0"/>
    <x v="1"/>
    <x v="1"/>
    <x v="0"/>
    <x v="8"/>
  </r>
  <r>
    <x v="59"/>
    <x v="0"/>
    <x v="7"/>
    <x v="1"/>
    <x v="0"/>
    <x v="0"/>
    <x v="0"/>
    <x v="1"/>
    <x v="1"/>
    <x v="0"/>
    <x v="8"/>
  </r>
  <r>
    <x v="59"/>
    <x v="0"/>
    <x v="4"/>
    <x v="1"/>
    <x v="0"/>
    <x v="0"/>
    <x v="0"/>
    <x v="1"/>
    <x v="1"/>
    <x v="0"/>
    <x v="9"/>
  </r>
  <r>
    <x v="60"/>
    <x v="3"/>
    <x v="16"/>
    <x v="1"/>
    <x v="1"/>
    <x v="0"/>
    <x v="2"/>
    <x v="20"/>
    <x v="19"/>
    <x v="0"/>
    <x v="38"/>
  </r>
  <r>
    <x v="61"/>
    <x v="0"/>
    <x v="7"/>
    <x v="1"/>
    <x v="0"/>
    <x v="0"/>
    <x v="0"/>
    <x v="3"/>
    <x v="3"/>
    <x v="0"/>
    <x v="8"/>
  </r>
  <r>
    <x v="61"/>
    <x v="0"/>
    <x v="0"/>
    <x v="1"/>
    <x v="0"/>
    <x v="0"/>
    <x v="0"/>
    <x v="1"/>
    <x v="1"/>
    <x v="0"/>
    <x v="1"/>
  </r>
  <r>
    <x v="62"/>
    <x v="0"/>
    <x v="6"/>
    <x v="1"/>
    <x v="0"/>
    <x v="0"/>
    <x v="0"/>
    <x v="3"/>
    <x v="3"/>
    <x v="0"/>
    <x v="10"/>
  </r>
  <r>
    <x v="63"/>
    <x v="0"/>
    <x v="7"/>
    <x v="1"/>
    <x v="0"/>
    <x v="0"/>
    <x v="0"/>
    <x v="1"/>
    <x v="1"/>
    <x v="0"/>
    <x v="8"/>
  </r>
  <r>
    <x v="63"/>
    <x v="0"/>
    <x v="7"/>
    <x v="1"/>
    <x v="0"/>
    <x v="0"/>
    <x v="0"/>
    <x v="0"/>
    <x v="0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B68E2E-3FDD-904A-9388-08FFCA4652D1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Z18" firstHeaderRow="1" firstDataRow="3" firstDataCol="1"/>
  <pivotFields count="11">
    <pivotField showAll="0" defaultSubtotal="0">
      <items count="64">
        <item x="51"/>
        <item x="59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8"/>
        <item x="62"/>
        <item x="63"/>
        <item x="5"/>
        <item x="57"/>
        <item x="61"/>
        <item x="55"/>
        <item x="54"/>
        <item x="56"/>
        <item x="18"/>
        <item x="17"/>
        <item x="7"/>
        <item x="27"/>
        <item x="16"/>
        <item x="6"/>
        <item x="9"/>
        <item x="4"/>
        <item x="60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20">
        <item x="14"/>
        <item x="3"/>
        <item x="12"/>
        <item x="19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21">
        <item x="2"/>
        <item x="14"/>
        <item x="8"/>
        <item x="16"/>
        <item x="19"/>
        <item x="20"/>
        <item x="7"/>
        <item x="18"/>
        <item x="15"/>
        <item x="9"/>
        <item x="13"/>
        <item x="3"/>
        <item x="10"/>
        <item x="5"/>
        <item x="4"/>
        <item x="6"/>
        <item x="11"/>
        <item x="12"/>
        <item x="0"/>
        <item x="17"/>
        <item x="1"/>
      </items>
    </pivotField>
    <pivotField dataField="1" showAll="0" defaultSubtotal="0">
      <items count="20">
        <item x="0"/>
        <item x="13"/>
        <item x="8"/>
        <item x="7"/>
        <item x="4"/>
        <item x="11"/>
        <item x="14"/>
        <item x="5"/>
        <item x="10"/>
        <item x="9"/>
        <item x="19"/>
        <item x="3"/>
        <item x="15"/>
        <item x="6"/>
        <item x="17"/>
        <item x="12"/>
        <item x="16"/>
        <item x="18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9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37"/>
        <item x="38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4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 v="1"/>
    </i>
    <i>
      <x v="6"/>
      <x/>
    </i>
    <i r="1">
      <x v="1"/>
    </i>
    <i>
      <x v="7"/>
      <x v="1"/>
    </i>
    <i>
      <x v="8"/>
      <x v="1"/>
    </i>
    <i>
      <x v="9"/>
      <x v="1"/>
    </i>
    <i>
      <x v="10"/>
      <x v="1"/>
    </i>
    <i>
      <x v="11"/>
      <x/>
    </i>
    <i r="1">
      <x v="1"/>
    </i>
    <i>
      <x v="12"/>
      <x v="1"/>
    </i>
    <i>
      <x v="13"/>
      <x v="1"/>
    </i>
    <i>
      <x v="14"/>
      <x v="1"/>
    </i>
    <i>
      <x v="15"/>
      <x/>
    </i>
    <i r="1">
      <x v="1"/>
    </i>
    <i>
      <x v="16"/>
      <x/>
    </i>
    <i r="1">
      <x v="1"/>
    </i>
    <i>
      <x v="17"/>
      <x v="1"/>
    </i>
    <i>
      <x v="18"/>
      <x v="1"/>
    </i>
    <i>
      <x v="19"/>
      <x v="1"/>
    </i>
  </colItems>
  <dataFields count="1">
    <dataField name="Paper Summary" fld="8" baseField="0" baseItem="0"/>
  </dataFields>
  <formats count="5"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63" headerRowDxfId="38" dataDxfId="37" totalsRowDxfId="36">
  <autoFilter ref="A5:K163" xr:uid="{00000000-0009-0000-0100-000002000000}">
    <filterColumn colId="10">
      <customFilters>
        <customFilter val="*165*"/>
      </customFilters>
    </filterColumn>
  </autoFilter>
  <tableColumns count="11">
    <tableColumn id="1" xr3:uid="{00000000-0010-0000-0000-000001000000}" name="Arrival" totalsRowLabel="Total" dataDxfId="35" totalsRowDxfId="34"/>
    <tableColumn id="2" xr3:uid="{00000000-0010-0000-0000-000002000000}" name="Specs" dataDxfId="33" totalsRowDxfId="32"/>
    <tableColumn id="3" xr3:uid="{00000000-0010-0000-0000-000003000000}" name="Width" dataDxfId="31" totalsRowDxfId="30"/>
    <tableColumn id="9" xr3:uid="{00000000-0010-0000-0000-000009000000}" name="Slitting" dataDxfId="29" totalsRowDxfId="28"/>
    <tableColumn id="4" xr3:uid="{00000000-0010-0000-0000-000004000000}" name="Length" dataDxfId="27" totalsRowDxfId="26"/>
    <tableColumn id="5" xr3:uid="{00000000-0010-0000-0000-000005000000}" name="Roll" dataDxfId="25" totalsRowDxfId="24"/>
    <tableColumn id="6" xr3:uid="{00000000-0010-0000-0000-000006000000}" name="Total" dataDxfId="23" totalsRowDxfId="22">
      <calculatedColumnFormula>F6*E6</calculatedColumnFormula>
    </tableColumn>
    <tableColumn id="7" xr3:uid="{00000000-0010-0000-0000-000007000000}" name="Used" dataDxfId="21" totalsRowDxfId="20"/>
    <tableColumn id="8" xr3:uid="{00000000-0010-0000-0000-000008000000}" name="Remaining" dataDxfId="19" totalsRowDxfId="18">
      <calculatedColumnFormula>G6-H6</calculatedColumnFormula>
    </tableColumn>
    <tableColumn id="10" xr3:uid="{00000000-0010-0000-0000-00000A000000}" name="Lining" dataDxfId="17" totalsRowDxfId="16"/>
    <tableColumn id="11" xr3:uid="{00000000-0010-0000-0000-00000B000000}" name="Index" totalsRowFunction="count" dataDxfId="15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4" dataDxfId="13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2"/>
    <tableColumn id="2" xr3:uid="{00000000-0010-0000-0100-000002000000}" name="LINE" dataDxfId="11"/>
    <tableColumn id="3" xr3:uid="{00000000-0010-0000-0100-000003000000}" name="Order Code" dataDxfId="10"/>
    <tableColumn id="4" xr3:uid="{00000000-0010-0000-0100-000004000000}" name="NAME" dataDxfId="9"/>
    <tableColumn id="7" xr3:uid="{00000000-0010-0000-0100-000007000000}" name="REMAINING" dataDxfId="8"/>
    <tableColumn id="6" xr3:uid="{00000000-0010-0000-0100-000006000000}" name="IMPORT DATE" dataDxfId="7"/>
    <tableColumn id="8" xr3:uid="{00000000-0010-0000-0100-000008000000}" name="COLOR STD" dataDxfId="6"/>
    <tableColumn id="9" xr3:uid="{00000000-0010-0000-0100-000009000000}" name="Index" dataDxfId="5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A14E3-9BD3-B34A-A717-014385F77DAE}">
  <dimension ref="B1:Z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8" width="5.59765625" bestFit="1" customWidth="1"/>
    <col min="9" max="9" width="7.59765625" bestFit="1" customWidth="1"/>
    <col min="10" max="10" width="3.8984375" bestFit="1" customWidth="1"/>
    <col min="11" max="14" width="5.59765625" bestFit="1" customWidth="1"/>
    <col min="15" max="15" width="7.59765625" bestFit="1" customWidth="1"/>
    <col min="16" max="16" width="3.8984375" bestFit="1" customWidth="1"/>
    <col min="17" max="19" width="5.59765625" bestFit="1" customWidth="1"/>
    <col min="20" max="20" width="7.59765625" bestFit="1" customWidth="1"/>
    <col min="21" max="21" width="3.8984375" bestFit="1" customWidth="1"/>
    <col min="22" max="22" width="7.59765625" bestFit="1" customWidth="1"/>
    <col min="23" max="23" width="3.8984375" bestFit="1" customWidth="1"/>
    <col min="24" max="26" width="5.59765625" bestFit="1" customWidth="1"/>
    <col min="27" max="27" width="3.898437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5.59765625" bestFit="1" customWidth="1"/>
    <col min="34" max="34" width="9.8984375" bestFit="1" customWidth="1"/>
    <col min="35" max="35" width="7.59765625" bestFit="1" customWidth="1"/>
    <col min="36" max="36" width="3.8984375" bestFit="1" customWidth="1"/>
    <col min="37" max="37" width="9.8984375" bestFit="1" customWidth="1"/>
    <col min="38" max="38" width="7.59765625" bestFit="1" customWidth="1"/>
    <col min="39" max="39" width="3.898437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5.59765625" bestFit="1" customWidth="1"/>
    <col min="46" max="46" width="9.8984375" bestFit="1" customWidth="1"/>
    <col min="47" max="47" width="11.8984375" bestFit="1" customWidth="1"/>
  </cols>
  <sheetData>
    <row r="1" spans="2:26">
      <c r="B1" s="50">
        <f>LastSavedTimeStamp()</f>
        <v>44245.37395833333</v>
      </c>
    </row>
    <row r="2" spans="2:26">
      <c r="B2" s="7" t="s">
        <v>201</v>
      </c>
      <c r="C2" s="7" t="s">
        <v>197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</row>
    <row r="3" spans="2:26">
      <c r="B3" s="52"/>
      <c r="C3" s="51">
        <v>40</v>
      </c>
      <c r="D3" s="51">
        <v>90</v>
      </c>
      <c r="E3" s="51">
        <v>100</v>
      </c>
      <c r="F3" s="51">
        <v>110</v>
      </c>
      <c r="G3" s="51">
        <v>115</v>
      </c>
      <c r="H3" s="51">
        <v>120</v>
      </c>
      <c r="I3" s="53">
        <v>125</v>
      </c>
      <c r="J3" s="54"/>
      <c r="K3" s="51">
        <v>130</v>
      </c>
      <c r="L3" s="51">
        <v>135</v>
      </c>
      <c r="M3" s="51">
        <v>140</v>
      </c>
      <c r="N3" s="51">
        <v>150</v>
      </c>
      <c r="O3" s="53">
        <v>155</v>
      </c>
      <c r="P3" s="54"/>
      <c r="Q3" s="51">
        <v>160</v>
      </c>
      <c r="R3" s="51">
        <v>165</v>
      </c>
      <c r="S3" s="51">
        <v>175</v>
      </c>
      <c r="T3" s="53">
        <v>185</v>
      </c>
      <c r="U3" s="54"/>
      <c r="V3" s="53">
        <v>205</v>
      </c>
      <c r="W3" s="54"/>
      <c r="X3" s="51">
        <v>210</v>
      </c>
      <c r="Y3" s="51">
        <v>215</v>
      </c>
      <c r="Z3" s="51">
        <v>220</v>
      </c>
    </row>
    <row r="4" spans="2:26">
      <c r="B4" s="7" t="s">
        <v>0</v>
      </c>
      <c r="C4" s="51" t="s">
        <v>253</v>
      </c>
      <c r="D4" s="51" t="s">
        <v>253</v>
      </c>
      <c r="E4" s="51" t="s">
        <v>253</v>
      </c>
      <c r="F4" s="51" t="s">
        <v>253</v>
      </c>
      <c r="G4" s="51" t="s">
        <v>253</v>
      </c>
      <c r="H4" s="51" t="s">
        <v>253</v>
      </c>
      <c r="I4" s="51" t="s">
        <v>261</v>
      </c>
      <c r="J4" s="51" t="s">
        <v>253</v>
      </c>
      <c r="K4" s="51" t="s">
        <v>253</v>
      </c>
      <c r="L4" s="51" t="s">
        <v>253</v>
      </c>
      <c r="M4" s="51" t="s">
        <v>253</v>
      </c>
      <c r="N4" s="51" t="s">
        <v>253</v>
      </c>
      <c r="O4" s="51" t="s">
        <v>261</v>
      </c>
      <c r="P4" s="51" t="s">
        <v>253</v>
      </c>
      <c r="Q4" s="51" t="s">
        <v>253</v>
      </c>
      <c r="R4" s="51" t="s">
        <v>253</v>
      </c>
      <c r="S4" s="51" t="s">
        <v>253</v>
      </c>
      <c r="T4" s="51" t="s">
        <v>261</v>
      </c>
      <c r="U4" s="51" t="s">
        <v>253</v>
      </c>
      <c r="V4" s="51" t="s">
        <v>261</v>
      </c>
      <c r="W4" s="51" t="s">
        <v>253</v>
      </c>
      <c r="X4" s="51" t="s">
        <v>253</v>
      </c>
      <c r="Y4" s="51" t="s">
        <v>253</v>
      </c>
      <c r="Z4" s="51" t="s">
        <v>253</v>
      </c>
    </row>
    <row r="5" spans="2:26">
      <c r="B5" s="5" t="s">
        <v>227</v>
      </c>
      <c r="C5" s="6"/>
      <c r="D5" s="6"/>
      <c r="E5" s="6"/>
      <c r="F5" s="6"/>
      <c r="G5" s="6"/>
      <c r="H5" s="6"/>
      <c r="I5" s="6"/>
      <c r="J5" s="6"/>
      <c r="K5" s="6"/>
      <c r="L5" s="6">
        <v>60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2:26">
      <c r="B6" s="5" t="s">
        <v>254</v>
      </c>
      <c r="C6" s="6"/>
      <c r="D6" s="6">
        <v>540</v>
      </c>
      <c r="E6" s="6"/>
      <c r="F6" s="6"/>
      <c r="G6" s="6"/>
      <c r="H6" s="6"/>
      <c r="I6" s="6">
        <v>600</v>
      </c>
      <c r="J6" s="6"/>
      <c r="K6" s="6"/>
      <c r="L6" s="6"/>
      <c r="M6" s="6"/>
      <c r="N6" s="6">
        <v>800</v>
      </c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2:26">
      <c r="B7" s="5" t="s">
        <v>256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2:26">
      <c r="B8" s="5" t="s">
        <v>257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/>
      <c r="M8" s="6">
        <v>520</v>
      </c>
      <c r="N8" s="6"/>
      <c r="O8" s="6"/>
      <c r="P8" s="6"/>
      <c r="Q8" s="6">
        <v>50</v>
      </c>
      <c r="R8" s="6"/>
      <c r="S8" s="6"/>
      <c r="T8" s="6"/>
      <c r="U8" s="6"/>
      <c r="V8" s="6"/>
      <c r="W8" s="6"/>
      <c r="X8" s="6"/>
      <c r="Y8" s="6"/>
      <c r="Z8" s="6"/>
    </row>
    <row r="9" spans="2:26">
      <c r="B9" s="5" t="s">
        <v>255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2:26">
      <c r="B10" s="5" t="s">
        <v>300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>
        <v>500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2:26">
      <c r="B11" s="5" t="s">
        <v>229</v>
      </c>
      <c r="C11" s="6"/>
      <c r="D11" s="6"/>
      <c r="E11" s="6">
        <v>250</v>
      </c>
      <c r="F11" s="6"/>
      <c r="G11" s="6"/>
      <c r="H11" s="6"/>
      <c r="I11" s="6"/>
      <c r="J11" s="6"/>
      <c r="K11" s="6">
        <v>30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2:26">
      <c r="B12" s="5" t="s">
        <v>230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>
        <v>20</v>
      </c>
      <c r="T12" s="6"/>
      <c r="U12" s="6"/>
      <c r="V12" s="6"/>
      <c r="W12" s="6"/>
      <c r="X12" s="6"/>
      <c r="Y12" s="6"/>
      <c r="Z12" s="6">
        <v>100</v>
      </c>
    </row>
    <row r="13" spans="2:26">
      <c r="B13" s="5" t="s">
        <v>12</v>
      </c>
      <c r="C13" s="6"/>
      <c r="D13" s="6">
        <v>600</v>
      </c>
      <c r="E13" s="6"/>
      <c r="F13" s="6"/>
      <c r="G13" s="6"/>
      <c r="H13" s="6">
        <v>400</v>
      </c>
      <c r="I13" s="6"/>
      <c r="J13" s="6"/>
      <c r="K13" s="6">
        <v>1230</v>
      </c>
      <c r="L13" s="6"/>
      <c r="M13" s="6">
        <v>290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2:26">
      <c r="B14" s="5" t="s">
        <v>325</v>
      </c>
      <c r="C14" s="6"/>
      <c r="D14" s="6">
        <v>950</v>
      </c>
      <c r="E14" s="6"/>
      <c r="F14" s="6">
        <v>600</v>
      </c>
      <c r="G14" s="6">
        <v>180</v>
      </c>
      <c r="H14" s="6">
        <v>400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2:26">
      <c r="B15" s="5" t="s">
        <v>286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2:26">
      <c r="B16" s="5" t="s">
        <v>301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>
        <v>0</v>
      </c>
      <c r="Y16" s="6"/>
      <c r="Z16" s="6"/>
    </row>
    <row r="17" spans="2:26">
      <c r="B17" s="5" t="s">
        <v>249</v>
      </c>
      <c r="C17" s="6"/>
      <c r="D17" s="6">
        <v>1620</v>
      </c>
      <c r="E17" s="6"/>
      <c r="F17" s="6"/>
      <c r="G17" s="6">
        <v>300</v>
      </c>
      <c r="H17" s="6"/>
      <c r="I17" s="6">
        <v>1300</v>
      </c>
      <c r="J17" s="6">
        <v>200</v>
      </c>
      <c r="K17" s="6"/>
      <c r="L17" s="6"/>
      <c r="M17" s="6">
        <v>0</v>
      </c>
      <c r="N17" s="6"/>
      <c r="O17" s="6">
        <v>800</v>
      </c>
      <c r="P17" s="6">
        <v>800</v>
      </c>
      <c r="Q17" s="6"/>
      <c r="R17" s="6">
        <v>2000</v>
      </c>
      <c r="S17" s="6"/>
      <c r="T17" s="6">
        <v>500</v>
      </c>
      <c r="U17" s="6">
        <v>600</v>
      </c>
      <c r="V17" s="6">
        <v>20</v>
      </c>
      <c r="W17" s="6">
        <v>650</v>
      </c>
      <c r="X17" s="6"/>
      <c r="Y17" s="6">
        <v>600</v>
      </c>
      <c r="Z17" s="6"/>
    </row>
    <row r="18" spans="2:26">
      <c r="B18" s="5" t="s">
        <v>228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</sheetData>
  <mergeCells count="4">
    <mergeCell ref="I3:J3"/>
    <mergeCell ref="O3:P3"/>
    <mergeCell ref="T3:U3"/>
    <mergeCell ref="V3:W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63"/>
  <sheetViews>
    <sheetView zoomScale="150" zoomScaleNormal="150" workbookViewId="0">
      <pane ySplit="5" topLeftCell="A154" activePane="bottomLeft" state="frozen"/>
      <selection pane="bottomLeft" activeCell="H161" sqref="H161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 t="s">
        <v>332</v>
      </c>
      <c r="B2" s="38" t="s">
        <v>250</v>
      </c>
      <c r="I2" s="56"/>
      <c r="J2" s="56"/>
      <c r="M2" s="28"/>
      <c r="N2" s="28"/>
      <c r="O2" s="28"/>
      <c r="P2" s="28"/>
    </row>
    <row r="3" spans="1:19" ht="22">
      <c r="I3" s="55"/>
      <c r="J3" s="55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247</v>
      </c>
      <c r="B5" s="11" t="s">
        <v>0</v>
      </c>
      <c r="C5" s="13" t="s">
        <v>197</v>
      </c>
      <c r="D5" s="13" t="s">
        <v>252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248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 hidden="1">
      <c r="A6" s="15" t="s">
        <v>3</v>
      </c>
      <c r="B6" s="18" t="s">
        <v>249</v>
      </c>
      <c r="C6" s="17">
        <v>185</v>
      </c>
      <c r="D6" s="17" t="s">
        <v>261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4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 hidden="1">
      <c r="A7" s="15" t="s">
        <v>4</v>
      </c>
      <c r="B7" s="18" t="s">
        <v>249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 hidden="1">
      <c r="A8" s="15" t="s">
        <v>5</v>
      </c>
      <c r="B8" s="17" t="s">
        <v>249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/>
      <c r="I8" s="17">
        <f t="shared" si="1"/>
        <v>600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 hidden="1">
      <c r="A9" s="15" t="s">
        <v>6</v>
      </c>
      <c r="B9" s="18" t="s">
        <v>249</v>
      </c>
      <c r="C9" s="17">
        <v>185</v>
      </c>
      <c r="D9" s="17" t="s">
        <v>261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 hidden="1">
      <c r="A10" s="15" t="s">
        <v>7</v>
      </c>
      <c r="B10" s="17" t="s">
        <v>254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 hidden="1">
      <c r="A11" s="15" t="s">
        <v>8</v>
      </c>
      <c r="B11" s="17" t="s">
        <v>249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 hidden="1">
      <c r="A12" s="15" t="s">
        <v>9</v>
      </c>
      <c r="B12" s="17" t="s">
        <v>249</v>
      </c>
      <c r="C12" s="17">
        <v>155</v>
      </c>
      <c r="D12" s="17" t="s">
        <v>261</v>
      </c>
      <c r="E12" s="17">
        <v>600</v>
      </c>
      <c r="F12" s="17">
        <v>1</v>
      </c>
      <c r="G12" s="17">
        <f t="shared" si="0"/>
        <v>600</v>
      </c>
      <c r="H12" s="17">
        <v>0</v>
      </c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 hidden="1">
      <c r="A13" s="15" t="s">
        <v>10</v>
      </c>
      <c r="B13" s="18" t="s">
        <v>249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 hidden="1">
      <c r="A15" s="15" t="s">
        <v>13</v>
      </c>
      <c r="B15" s="17" t="s">
        <v>249</v>
      </c>
      <c r="C15" s="17">
        <v>125</v>
      </c>
      <c r="D15" s="17" t="s">
        <v>261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213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249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 hidden="1">
      <c r="A17" s="15" t="s">
        <v>14</v>
      </c>
      <c r="B17" s="18" t="s">
        <v>249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8" t="s">
        <v>249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 hidden="1">
      <c r="A19" s="15" t="s">
        <v>8</v>
      </c>
      <c r="B19" s="17" t="s">
        <v>249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7" t="s">
        <v>254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8" t="s">
        <v>249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 hidden="1">
      <c r="A22" s="15" t="s">
        <v>15</v>
      </c>
      <c r="B22" s="18" t="s">
        <v>249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213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6" t="s">
        <v>249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550</v>
      </c>
      <c r="I23" s="17">
        <f t="shared" si="1"/>
        <v>50</v>
      </c>
      <c r="J23" s="17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8" t="s">
        <v>249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 hidden="1">
      <c r="A25" s="15" t="s">
        <v>15</v>
      </c>
      <c r="B25" s="18" t="s">
        <v>249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213</v>
      </c>
      <c r="K25" s="9" t="str">
        <f>CONCATENATE(Table2[[#This Row],[Specs]],Table2[[#This Row],[Width]],Table2[[#This Row],[Slitting]])</f>
        <v>y ユポ80 MDN 8GB125</v>
      </c>
    </row>
    <row r="26" spans="1:11" hidden="1">
      <c r="A26" s="15" t="s">
        <v>196</v>
      </c>
      <c r="B26" s="17" t="s">
        <v>254</v>
      </c>
      <c r="C26" s="17">
        <v>125</v>
      </c>
      <c r="D26" s="17" t="s">
        <v>261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213</v>
      </c>
      <c r="K26" s="9" t="str">
        <f>CONCATENATE(Table2[[#This Row],[Specs]],Table2[[#This Row],[Width]],Table2[[#This Row],[Slitting]])</f>
        <v>j 上質125i 一本刃</v>
      </c>
    </row>
    <row r="27" spans="1:11" hidden="1">
      <c r="A27" s="15" t="s">
        <v>196</v>
      </c>
      <c r="B27" s="18" t="s">
        <v>249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 hidden="1">
      <c r="A28" s="15" t="s">
        <v>196</v>
      </c>
      <c r="B28" s="16" t="s">
        <v>249</v>
      </c>
      <c r="C28" s="17">
        <v>125</v>
      </c>
      <c r="D28" s="17" t="s">
        <v>261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213</v>
      </c>
      <c r="K28" s="9" t="str">
        <f>CONCATENATE(Table2[[#This Row],[Specs]],Table2[[#This Row],[Width]],Table2[[#This Row],[Slitting]])</f>
        <v>y ユポ80 MDN 8GB125i 一本刃</v>
      </c>
    </row>
    <row r="29" spans="1:11" hidden="1">
      <c r="A29" s="15" t="s">
        <v>196</v>
      </c>
      <c r="B29" s="42" t="s">
        <v>249</v>
      </c>
      <c r="C29" s="17">
        <v>125</v>
      </c>
      <c r="D29" s="17" t="s">
        <v>261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213</v>
      </c>
      <c r="K29" s="9" t="str">
        <f>CONCATENATE(Table2[[#This Row],[Specs]],Table2[[#This Row],[Width]],Table2[[#This Row],[Slitting]])</f>
        <v>y ユポ80 MDN 8GB125i 一本刃</v>
      </c>
    </row>
    <row r="30" spans="1:11" hidden="1">
      <c r="A30" s="15" t="s">
        <v>208</v>
      </c>
      <c r="B30" s="17" t="s">
        <v>325</v>
      </c>
      <c r="C30" s="17">
        <v>90</v>
      </c>
      <c r="D30" s="17"/>
      <c r="E30" s="17">
        <v>300</v>
      </c>
      <c r="F30" s="17">
        <v>1</v>
      </c>
      <c r="G30" s="17">
        <f t="shared" ref="G30:G64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 MP1 110HS90</v>
      </c>
    </row>
    <row r="31" spans="1:11">
      <c r="A31" s="15" t="s">
        <v>209</v>
      </c>
      <c r="B31" s="18" t="s">
        <v>249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 hidden="1">
      <c r="A32" s="15" t="s">
        <v>210</v>
      </c>
      <c r="B32" s="17" t="s">
        <v>325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 MP1 110HS90</v>
      </c>
    </row>
    <row r="33" spans="1:11" hidden="1">
      <c r="A33" s="15" t="s">
        <v>211</v>
      </c>
      <c r="B33" s="17" t="s">
        <v>325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 MP1 110HS90</v>
      </c>
    </row>
    <row r="34" spans="1:11" hidden="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212</v>
      </c>
      <c r="K34" s="9" t="str">
        <f>CONCATENATE(Table2[[#This Row],[Specs]],Table2[[#This Row],[Width]],Table2[[#This Row],[Slitting]])</f>
        <v>Nキャスト&lt;73&gt;ME80E130</v>
      </c>
    </row>
    <row r="35" spans="1:11" hidden="1">
      <c r="A35" s="15" t="s">
        <v>196</v>
      </c>
      <c r="B35" s="16" t="s">
        <v>325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 MP1 110HS90</v>
      </c>
    </row>
    <row r="36" spans="1:11" hidden="1">
      <c r="A36" s="15" t="s">
        <v>196</v>
      </c>
      <c r="B36" s="16" t="s">
        <v>325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 MP1 110HS90</v>
      </c>
    </row>
    <row r="37" spans="1:11" hidden="1">
      <c r="A37" s="15" t="s">
        <v>196</v>
      </c>
      <c r="B37" s="18" t="s">
        <v>249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 hidden="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213</v>
      </c>
      <c r="K38" s="9" t="str">
        <f>CONCATENATE(Table2[[#This Row],[Specs]],Table2[[#This Row],[Width]],Table2[[#This Row],[Slitting]])</f>
        <v>Nキャスト&lt;73&gt;ME80E90</v>
      </c>
    </row>
    <row r="39" spans="1:11" hidden="1">
      <c r="A39" s="15" t="s">
        <v>196</v>
      </c>
      <c r="B39" s="16" t="s">
        <v>249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213</v>
      </c>
      <c r="K39" s="9" t="str">
        <f>CONCATENATE(Table2[[#This Row],[Specs]],Table2[[#This Row],[Width]],Table2[[#This Row],[Slitting]])</f>
        <v>y ユポ80 MDN 8GB90</v>
      </c>
    </row>
    <row r="40" spans="1:11" hidden="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 hidden="1">
      <c r="A41" s="15" t="s">
        <v>196</v>
      </c>
      <c r="B41" s="17" t="s">
        <v>255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212</v>
      </c>
      <c r="K41" s="9" t="str">
        <f>CONCATENATE(Table2[[#This Row],[Specs]],Table2[[#This Row],[Width]],Table2[[#This Row],[Slitting]])</f>
        <v>j 上質55 ME 80E90</v>
      </c>
    </row>
    <row r="42" spans="1:11" hidden="1">
      <c r="A42" s="15" t="s">
        <v>196</v>
      </c>
      <c r="B42" s="16" t="s">
        <v>249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213</v>
      </c>
      <c r="K42" s="9" t="str">
        <f>CONCATENATE(Table2[[#This Row],[Specs]],Table2[[#This Row],[Width]],Table2[[#This Row],[Slitting]])</f>
        <v>y ユポ80 MDN 8GB90</v>
      </c>
    </row>
    <row r="43" spans="1:11" hidden="1">
      <c r="A43" s="15" t="s">
        <v>196</v>
      </c>
      <c r="B43" s="16" t="s">
        <v>254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213</v>
      </c>
      <c r="K43" s="9" t="str">
        <f>CONCATENATE(Table2[[#This Row],[Specs]],Table2[[#This Row],[Width]],Table2[[#This Row],[Slitting]])</f>
        <v>j 上質90</v>
      </c>
    </row>
    <row r="44" spans="1:11" hidden="1">
      <c r="A44" s="15" t="s">
        <v>196</v>
      </c>
      <c r="B44" s="16" t="s">
        <v>254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213</v>
      </c>
      <c r="K44" s="9" t="str">
        <f>CONCATENATE(Table2[[#This Row],[Specs]],Table2[[#This Row],[Width]],Table2[[#This Row],[Slitting]])</f>
        <v>j 上質90</v>
      </c>
    </row>
    <row r="45" spans="1:11" hidden="1">
      <c r="A45" s="15" t="s">
        <v>196</v>
      </c>
      <c r="B45" s="16" t="s">
        <v>254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213</v>
      </c>
      <c r="K45" s="9" t="str">
        <f>CONCATENATE(Table2[[#This Row],[Specs]],Table2[[#This Row],[Width]],Table2[[#This Row],[Slitting]])</f>
        <v>j 上質90</v>
      </c>
    </row>
    <row r="46" spans="1:11" hidden="1">
      <c r="A46" s="15" t="s">
        <v>196</v>
      </c>
      <c r="B46" s="16" t="s">
        <v>254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213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215</v>
      </c>
      <c r="B47" s="17" t="s">
        <v>227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216</v>
      </c>
      <c r="K47" s="19" t="str">
        <f>CONCATENATE(Table2[[#This Row],[Specs]],Table2[[#This Row],[Width]],Table2[[#This Row],[Slitting]])</f>
        <v>IJPマットコート135</v>
      </c>
    </row>
    <row r="48" spans="1:11" hidden="1">
      <c r="A48" s="15" t="s">
        <v>217</v>
      </c>
      <c r="B48" s="16" t="s">
        <v>249</v>
      </c>
      <c r="C48" s="17">
        <v>205</v>
      </c>
      <c r="D48" s="17" t="s">
        <v>261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218</v>
      </c>
      <c r="K48" s="19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217</v>
      </c>
      <c r="B49" s="17" t="s">
        <v>325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219</v>
      </c>
      <c r="K49" s="19" t="str">
        <f>CONCATENATE(Table2[[#This Row],[Specs]],Table2[[#This Row],[Width]],Table2[[#This Row],[Slitting]])</f>
        <v>PET50Sマット MP1 110HS120</v>
      </c>
    </row>
    <row r="50" spans="1:11" hidden="1">
      <c r="A50" s="15" t="s">
        <v>217</v>
      </c>
      <c r="B50" s="18" t="s">
        <v>249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218</v>
      </c>
      <c r="K50" s="19" t="str">
        <f>CONCATENATE(Table2[[#This Row],[Specs]],Table2[[#This Row],[Width]],Table2[[#This Row],[Slitting]])</f>
        <v>y ユポ80 MDN 8GB215</v>
      </c>
    </row>
    <row r="51" spans="1:11" hidden="1">
      <c r="A51" s="15" t="s">
        <v>220</v>
      </c>
      <c r="B51" s="17" t="s">
        <v>229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221</v>
      </c>
      <c r="K51" s="19" t="str">
        <f>CONCATENATE(Table2[[#This Row],[Specs]],Table2[[#This Row],[Width]],Table2[[#This Row],[Slitting]])</f>
        <v>N 上質&lt;55&gt;ME 7GB100</v>
      </c>
    </row>
    <row r="52" spans="1:11" hidden="1">
      <c r="A52" s="15" t="s">
        <v>217</v>
      </c>
      <c r="B52" s="17" t="s">
        <v>256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221</v>
      </c>
      <c r="K52" s="19" t="str">
        <f>CONCATENATE(Table2[[#This Row],[Specs]],Table2[[#This Row],[Width]],Table2[[#This Row],[Slitting]])</f>
        <v>j 上質&lt;55&gt;PC 7GB100</v>
      </c>
    </row>
    <row r="53" spans="1:11" hidden="1">
      <c r="A53" s="15" t="s">
        <v>222</v>
      </c>
      <c r="B53" s="16" t="s">
        <v>256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218</v>
      </c>
      <c r="K53" s="19" t="str">
        <f>CONCATENATE(Table2[[#This Row],[Specs]],Table2[[#This Row],[Width]],Table2[[#This Row],[Slitting]])</f>
        <v>j 上質&lt;55&gt;PC 7GB100</v>
      </c>
    </row>
    <row r="54" spans="1:11" hidden="1">
      <c r="A54" s="15" t="s">
        <v>222</v>
      </c>
      <c r="B54" s="18" t="s">
        <v>249</v>
      </c>
      <c r="C54" s="17">
        <v>125</v>
      </c>
      <c r="D54" s="17" t="s">
        <v>261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221</v>
      </c>
      <c r="K54" s="19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220</v>
      </c>
      <c r="B55" s="16" t="s">
        <v>230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223</v>
      </c>
      <c r="K55" s="19" t="str">
        <f>CONCATENATE(Table2[[#This Row],[Specs]],Table2[[#This Row],[Width]],Table2[[#This Row],[Slitting]])</f>
        <v>N 上質&lt;55&gt;ME 80E175</v>
      </c>
    </row>
    <row r="56" spans="1:11" hidden="1">
      <c r="A56" s="15" t="s">
        <v>222</v>
      </c>
      <c r="B56" s="17" t="s">
        <v>228</v>
      </c>
      <c r="C56" s="17">
        <v>40</v>
      </c>
      <c r="D56" s="17"/>
      <c r="E56" s="17">
        <v>80</v>
      </c>
      <c r="F56" s="17">
        <v>1</v>
      </c>
      <c r="G56" s="17">
        <f t="shared" si="2"/>
        <v>80</v>
      </c>
      <c r="H56" s="17"/>
      <c r="I56" s="17">
        <f t="shared" si="1"/>
        <v>80</v>
      </c>
      <c r="J56" s="17"/>
      <c r="K56" s="19" t="str">
        <f>CONCATENATE(Table2[[#This Row],[Specs]],Table2[[#This Row],[Width]],Table2[[#This Row],[Slitting]])</f>
        <v>ヤート&lt;73&gt;メモリー訂正 80H40</v>
      </c>
    </row>
    <row r="57" spans="1:11" hidden="1">
      <c r="A57" s="15" t="s">
        <v>224</v>
      </c>
      <c r="B57" s="17" t="s">
        <v>228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217</v>
      </c>
      <c r="B58" s="18" t="s">
        <v>257</v>
      </c>
      <c r="C58" s="17">
        <v>160</v>
      </c>
      <c r="D58" s="17"/>
      <c r="E58" s="17">
        <v>600</v>
      </c>
      <c r="F58" s="17">
        <v>1</v>
      </c>
      <c r="G58" s="17">
        <f t="shared" si="2"/>
        <v>600</v>
      </c>
      <c r="H58" s="17">
        <v>600</v>
      </c>
      <c r="I58" s="17">
        <f t="shared" si="1"/>
        <v>0</v>
      </c>
      <c r="J58" s="17"/>
      <c r="K58" s="19" t="str">
        <f>CONCATENATE(Table2[[#This Row],[Specs]],Table2[[#This Row],[Width]],Table2[[#This Row],[Slitting]])</f>
        <v>j 上質&lt;70&gt; ME 7GB160</v>
      </c>
    </row>
    <row r="59" spans="1:11" hidden="1">
      <c r="A59" s="15" t="s">
        <v>225</v>
      </c>
      <c r="B59" s="18" t="s">
        <v>249</v>
      </c>
      <c r="C59" s="17">
        <v>185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y ユポ80 MDN 8GB185</v>
      </c>
    </row>
    <row r="60" spans="1:11" hidden="1">
      <c r="A60" s="15" t="s">
        <v>226</v>
      </c>
      <c r="B60" s="48" t="s">
        <v>249</v>
      </c>
      <c r="C60" s="17">
        <v>155</v>
      </c>
      <c r="D60" s="17"/>
      <c r="E60" s="17">
        <v>600</v>
      </c>
      <c r="F60" s="17">
        <v>1</v>
      </c>
      <c r="G60" s="17">
        <f t="shared" si="2"/>
        <v>600</v>
      </c>
      <c r="H60" s="17">
        <f>560+40</f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8GB155</v>
      </c>
    </row>
    <row r="61" spans="1:11" hidden="1">
      <c r="A61" s="15" t="s">
        <v>222</v>
      </c>
      <c r="B61" s="18" t="s">
        <v>12</v>
      </c>
      <c r="C61" s="17">
        <v>90</v>
      </c>
      <c r="D61" s="17"/>
      <c r="E61" s="17">
        <v>600</v>
      </c>
      <c r="F61" s="17">
        <v>1</v>
      </c>
      <c r="G61" s="17">
        <f t="shared" si="2"/>
        <v>600</v>
      </c>
      <c r="H61" s="17"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Nキャスト&lt;73&gt;ME80E90</v>
      </c>
    </row>
    <row r="62" spans="1:11" hidden="1">
      <c r="A62" s="15" t="s">
        <v>217</v>
      </c>
      <c r="B62" s="18" t="s">
        <v>249</v>
      </c>
      <c r="C62" s="17">
        <v>115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y ユポ80 MDN 8GB115</v>
      </c>
    </row>
    <row r="63" spans="1:11">
      <c r="A63" s="15" t="s">
        <v>246</v>
      </c>
      <c r="B63" s="18" t="s">
        <v>249</v>
      </c>
      <c r="C63" s="17">
        <v>165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8GB165</v>
      </c>
    </row>
    <row r="64" spans="1:11">
      <c r="A64" s="15" t="s">
        <v>246</v>
      </c>
      <c r="B64" s="18" t="s">
        <v>249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 hidden="1">
      <c r="A65" s="15" t="s">
        <v>259</v>
      </c>
      <c r="B65" s="18" t="s">
        <v>249</v>
      </c>
      <c r="C65" s="17">
        <v>155</v>
      </c>
      <c r="D65" s="17"/>
      <c r="E65" s="17">
        <v>600</v>
      </c>
      <c r="F65" s="17">
        <v>1</v>
      </c>
      <c r="G65" s="17">
        <f t="shared" ref="G65:G71" si="3">F65*E65</f>
        <v>600</v>
      </c>
      <c r="H65" s="17">
        <v>600</v>
      </c>
      <c r="I65" s="17">
        <f t="shared" ref="I65:I71" si="4">G65-H65</f>
        <v>0</v>
      </c>
      <c r="J65" s="17" t="s">
        <v>213</v>
      </c>
      <c r="K65" s="19" t="str">
        <f>CONCATENATE(Table2[[#This Row],[Specs]],Table2[[#This Row],[Width]],Table2[[#This Row],[Slitting]])</f>
        <v>y ユポ80 MDN 8GB155</v>
      </c>
    </row>
    <row r="66" spans="1:11" hidden="1">
      <c r="A66" s="15" t="s">
        <v>259</v>
      </c>
      <c r="B66" s="18" t="s">
        <v>249</v>
      </c>
      <c r="C66" s="17">
        <v>185</v>
      </c>
      <c r="D66" s="17" t="s">
        <v>261</v>
      </c>
      <c r="E66" s="17">
        <v>600</v>
      </c>
      <c r="F66" s="17">
        <v>1</v>
      </c>
      <c r="G66" s="17">
        <f t="shared" si="3"/>
        <v>600</v>
      </c>
      <c r="H66" s="17">
        <v>600</v>
      </c>
      <c r="I66" s="17">
        <f t="shared" si="4"/>
        <v>0</v>
      </c>
      <c r="J66" s="17" t="s">
        <v>213</v>
      </c>
      <c r="K66" s="19" t="str">
        <f>CONCATENATE(Table2[[#This Row],[Specs]],Table2[[#This Row],[Width]],Table2[[#This Row],[Slitting]])</f>
        <v>y ユポ80 MDN 8GB185i 一本刃</v>
      </c>
    </row>
    <row r="67" spans="1:11" hidden="1">
      <c r="A67" s="15" t="s">
        <v>196</v>
      </c>
      <c r="B67" s="18" t="s">
        <v>249</v>
      </c>
      <c r="C67" s="17">
        <v>155</v>
      </c>
      <c r="D67" s="17" t="s">
        <v>261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213</v>
      </c>
      <c r="K67" s="19" t="str">
        <f>CONCATENATE(Table2[[#This Row],[Specs]],Table2[[#This Row],[Width]],Table2[[#This Row],[Slitting]])</f>
        <v>y ユポ80 MDN 8GB155i 一本刃</v>
      </c>
    </row>
    <row r="68" spans="1:11">
      <c r="A68" s="15" t="s">
        <v>262</v>
      </c>
      <c r="B68" s="18" t="s">
        <v>249</v>
      </c>
      <c r="C68" s="17">
        <v>165</v>
      </c>
      <c r="D68" s="17"/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/>
      <c r="K68" s="19" t="str">
        <f>CONCATENATE(Table2[[#This Row],[Specs]],Table2[[#This Row],[Width]],Table2[[#This Row],[Slitting]])</f>
        <v>y ユポ80 MDN 8GB165</v>
      </c>
    </row>
    <row r="69" spans="1:11">
      <c r="A69" s="15" t="s">
        <v>262</v>
      </c>
      <c r="B69" s="18" t="s">
        <v>249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 hidden="1">
      <c r="A70" s="15" t="s">
        <v>196</v>
      </c>
      <c r="B70" s="18" t="s">
        <v>249</v>
      </c>
      <c r="C70" s="17">
        <v>185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8GB185</v>
      </c>
    </row>
    <row r="71" spans="1:11" hidden="1">
      <c r="A71" s="15" t="s">
        <v>264</v>
      </c>
      <c r="B71" s="18" t="s">
        <v>12</v>
      </c>
      <c r="C71" s="17">
        <v>90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Nキャスト&lt;73&gt;ME80E90</v>
      </c>
    </row>
    <row r="72" spans="1:11">
      <c r="A72" s="15" t="s">
        <v>263</v>
      </c>
      <c r="B72" s="18" t="s">
        <v>249</v>
      </c>
      <c r="C72" s="17">
        <v>165</v>
      </c>
      <c r="D72" s="17"/>
      <c r="E72" s="17">
        <v>600</v>
      </c>
      <c r="F72" s="17">
        <v>1</v>
      </c>
      <c r="G72" s="17">
        <f t="shared" ref="G72:G78" si="5">F72*E72</f>
        <v>600</v>
      </c>
      <c r="H72" s="17">
        <v>600</v>
      </c>
      <c r="I72" s="17">
        <f t="shared" ref="I72:I78" si="6">G72-H72</f>
        <v>0</v>
      </c>
      <c r="J72" s="17"/>
      <c r="K72" s="19" t="str">
        <f>CONCATENATE(Table2[[#This Row],[Specs]],Table2[[#This Row],[Width]],Table2[[#This Row],[Slitting]])</f>
        <v>y ユポ80 MDN 8GB165</v>
      </c>
    </row>
    <row r="73" spans="1:11" hidden="1">
      <c r="A73" s="15" t="s">
        <v>263</v>
      </c>
      <c r="B73" s="17" t="s">
        <v>228</v>
      </c>
      <c r="C73" s="17">
        <v>40</v>
      </c>
      <c r="D73" s="17"/>
      <c r="E73" s="17">
        <v>80</v>
      </c>
      <c r="F73" s="17">
        <v>1</v>
      </c>
      <c r="G73" s="17">
        <f t="shared" si="5"/>
        <v>80</v>
      </c>
      <c r="H73" s="17"/>
      <c r="I73" s="17">
        <f t="shared" si="6"/>
        <v>80</v>
      </c>
      <c r="J73" s="17"/>
      <c r="K73" s="19" t="str">
        <f>CONCATENATE(Table2[[#This Row],[Specs]],Table2[[#This Row],[Width]],Table2[[#This Row],[Slitting]])</f>
        <v>ヤート&lt;73&gt;メモリー訂正 80H40</v>
      </c>
    </row>
    <row r="74" spans="1:11" hidden="1">
      <c r="A74" s="15" t="s">
        <v>263</v>
      </c>
      <c r="B74" s="17" t="s">
        <v>228</v>
      </c>
      <c r="C74" s="17">
        <v>100</v>
      </c>
      <c r="D74" s="17"/>
      <c r="E74" s="17">
        <v>400</v>
      </c>
      <c r="F74" s="17">
        <v>1</v>
      </c>
      <c r="G74" s="17">
        <f t="shared" si="5"/>
        <v>400</v>
      </c>
      <c r="H74" s="17"/>
      <c r="I74" s="17">
        <f t="shared" si="6"/>
        <v>400</v>
      </c>
      <c r="J74" s="17"/>
      <c r="K74" s="19" t="str">
        <f>CONCATENATE(Table2[[#This Row],[Specs]],Table2[[#This Row],[Width]],Table2[[#This Row],[Slitting]])</f>
        <v>ヤート&lt;73&gt;メモリー訂正 80H100</v>
      </c>
    </row>
    <row r="75" spans="1:11">
      <c r="A75" s="15" t="s">
        <v>266</v>
      </c>
      <c r="B75" s="18" t="s">
        <v>249</v>
      </c>
      <c r="C75" s="17">
        <v>165</v>
      </c>
      <c r="D75" s="17"/>
      <c r="E75" s="17">
        <v>600</v>
      </c>
      <c r="F75" s="17">
        <v>1</v>
      </c>
      <c r="G75" s="17">
        <f t="shared" si="5"/>
        <v>600</v>
      </c>
      <c r="H75" s="17">
        <v>600</v>
      </c>
      <c r="I75" s="17">
        <f t="shared" si="6"/>
        <v>0</v>
      </c>
      <c r="J75" s="17"/>
      <c r="K75" s="19" t="str">
        <f>CONCATENATE(Table2[[#This Row],[Specs]],Table2[[#This Row],[Width]],Table2[[#This Row],[Slitting]])</f>
        <v>y ユポ80 MDN 8GB165</v>
      </c>
    </row>
    <row r="76" spans="1:11">
      <c r="A76" s="15" t="s">
        <v>266</v>
      </c>
      <c r="B76" s="18" t="s">
        <v>249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>
      <c r="A77" s="15" t="s">
        <v>266</v>
      </c>
      <c r="B77" s="18" t="s">
        <v>249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 hidden="1">
      <c r="A78" s="15" t="s">
        <v>196</v>
      </c>
      <c r="B78" s="17" t="s">
        <v>228</v>
      </c>
      <c r="C78" s="17">
        <v>100</v>
      </c>
      <c r="D78" s="17"/>
      <c r="E78" s="17">
        <v>400</v>
      </c>
      <c r="F78" s="17">
        <v>1</v>
      </c>
      <c r="G78" s="17">
        <f t="shared" si="5"/>
        <v>400</v>
      </c>
      <c r="H78" s="17">
        <v>380</v>
      </c>
      <c r="I78" s="17">
        <f t="shared" si="6"/>
        <v>20</v>
      </c>
      <c r="J78" s="17"/>
      <c r="K78" s="19" t="str">
        <f>CONCATENATE(Table2[[#This Row],[Specs]],Table2[[#This Row],[Width]],Table2[[#This Row],[Slitting]])</f>
        <v>ヤート&lt;73&gt;メモリー訂正 80H100</v>
      </c>
    </row>
    <row r="79" spans="1:11" hidden="1">
      <c r="A79" s="15" t="s">
        <v>268</v>
      </c>
      <c r="B79" s="18" t="s">
        <v>249</v>
      </c>
      <c r="C79" s="17">
        <v>125</v>
      </c>
      <c r="D79" s="17"/>
      <c r="E79" s="17">
        <v>600</v>
      </c>
      <c r="F79" s="17">
        <v>1</v>
      </c>
      <c r="G79" s="17">
        <f t="shared" ref="G79:G84" si="7">F79*E79</f>
        <v>600</v>
      </c>
      <c r="H79" s="17">
        <v>600</v>
      </c>
      <c r="I79" s="17">
        <f t="shared" ref="I79:I84" si="8">G79-H79</f>
        <v>0</v>
      </c>
      <c r="J79" s="17"/>
      <c r="K79" s="19" t="str">
        <f>CONCATENATE(Table2[[#This Row],[Specs]],Table2[[#This Row],[Width]],Table2[[#This Row],[Slitting]])</f>
        <v>y ユポ80 MDN 8GB125</v>
      </c>
    </row>
    <row r="80" spans="1:11">
      <c r="A80" s="15" t="s">
        <v>270</v>
      </c>
      <c r="B80" s="18" t="s">
        <v>271</v>
      </c>
      <c r="C80" s="17">
        <v>165</v>
      </c>
      <c r="D80" s="17"/>
      <c r="E80" s="17">
        <v>600</v>
      </c>
      <c r="F80" s="17">
        <v>1</v>
      </c>
      <c r="G80" s="17">
        <f t="shared" si="7"/>
        <v>600</v>
      </c>
      <c r="H80" s="17">
        <v>600</v>
      </c>
      <c r="I80" s="17">
        <f t="shared" si="8"/>
        <v>0</v>
      </c>
      <c r="J80" s="17"/>
      <c r="K80" s="19" t="str">
        <f>CONCATENATE(Table2[[#This Row],[Specs]],Table2[[#This Row],[Width]],Table2[[#This Row],[Slitting]])</f>
        <v>y ユポ80 MDN 8GB165</v>
      </c>
    </row>
    <row r="81" spans="1:11">
      <c r="A81" s="15" t="s">
        <v>270</v>
      </c>
      <c r="B81" s="18" t="s">
        <v>271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>
      <c r="A82" s="39" t="s">
        <v>269</v>
      </c>
      <c r="B82" s="41" t="s">
        <v>249</v>
      </c>
      <c r="C82" s="49">
        <v>165</v>
      </c>
      <c r="D82" s="49"/>
      <c r="E82" s="49">
        <v>600</v>
      </c>
      <c r="F82" s="49">
        <v>1</v>
      </c>
      <c r="G82" s="17">
        <f t="shared" si="7"/>
        <v>600</v>
      </c>
      <c r="H82" s="49">
        <v>600</v>
      </c>
      <c r="I82" s="17">
        <f t="shared" si="8"/>
        <v>0</v>
      </c>
      <c r="J82" s="40"/>
      <c r="K82" s="19" t="str">
        <f>CONCATENATE(Table2[[#This Row],[Specs]],Table2[[#This Row],[Width]],Table2[[#This Row],[Slitting]])</f>
        <v>y ユポ80 MDN 8GB165</v>
      </c>
    </row>
    <row r="83" spans="1:11" hidden="1">
      <c r="A83" s="39" t="s">
        <v>269</v>
      </c>
      <c r="B83" s="41" t="s">
        <v>249</v>
      </c>
      <c r="C83" s="49">
        <v>140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8GB140</v>
      </c>
    </row>
    <row r="84" spans="1:11" hidden="1">
      <c r="A84" s="15" t="s">
        <v>272</v>
      </c>
      <c r="B84" s="18" t="s">
        <v>273</v>
      </c>
      <c r="C84" s="17">
        <v>90</v>
      </c>
      <c r="D84" s="17"/>
      <c r="E84" s="17">
        <v>600</v>
      </c>
      <c r="F84" s="17">
        <v>1</v>
      </c>
      <c r="G84" s="17">
        <f t="shared" si="7"/>
        <v>600</v>
      </c>
      <c r="H84" s="17">
        <v>600</v>
      </c>
      <c r="I84" s="17">
        <f t="shared" si="8"/>
        <v>0</v>
      </c>
      <c r="J84" s="17"/>
      <c r="K84" s="19" t="str">
        <f>CONCATENATE(Table2[[#This Row],[Specs]],Table2[[#This Row],[Width]],Table2[[#This Row],[Slitting]])</f>
        <v>Nキャスト&lt;73&gt;ME80E90</v>
      </c>
    </row>
    <row r="85" spans="1:11" hidden="1">
      <c r="A85" s="15" t="s">
        <v>274</v>
      </c>
      <c r="B85" s="18" t="s">
        <v>249</v>
      </c>
      <c r="C85" s="17">
        <v>140</v>
      </c>
      <c r="D85" s="17"/>
      <c r="E85" s="17">
        <v>600</v>
      </c>
      <c r="F85" s="17">
        <v>1</v>
      </c>
      <c r="G85" s="17">
        <f t="shared" ref="G85:G93" si="9">F85*E85</f>
        <v>600</v>
      </c>
      <c r="H85" s="17">
        <v>600</v>
      </c>
      <c r="I85" s="17">
        <f t="shared" ref="I85:I93" si="10">G85-H85</f>
        <v>0</v>
      </c>
      <c r="J85" s="17"/>
      <c r="K85" s="19" t="str">
        <f>CONCATENATE(Table2[[#This Row],[Specs]],Table2[[#This Row],[Width]],Table2[[#This Row],[Slitting]])</f>
        <v>y ユポ80 MDN 8GB140</v>
      </c>
    </row>
    <row r="86" spans="1:11">
      <c r="A86" s="15" t="s">
        <v>276</v>
      </c>
      <c r="B86" s="18" t="s">
        <v>277</v>
      </c>
      <c r="C86" s="17">
        <v>165</v>
      </c>
      <c r="D86" s="17"/>
      <c r="E86" s="17">
        <v>600</v>
      </c>
      <c r="F86" s="17">
        <v>1</v>
      </c>
      <c r="G86" s="17">
        <f t="shared" si="9"/>
        <v>600</v>
      </c>
      <c r="H86" s="17">
        <v>600</v>
      </c>
      <c r="I86" s="17">
        <f t="shared" si="10"/>
        <v>0</v>
      </c>
      <c r="J86" s="17"/>
      <c r="K86" s="19" t="str">
        <f>CONCATENATE(Table2[[#This Row],[Specs]],Table2[[#This Row],[Width]],Table2[[#This Row],[Slitting]])</f>
        <v>Y ユポ80 MDN 8GB165</v>
      </c>
    </row>
    <row r="87" spans="1:11" hidden="1">
      <c r="A87" s="15" t="s">
        <v>276</v>
      </c>
      <c r="B87" s="18" t="s">
        <v>12</v>
      </c>
      <c r="C87" s="17">
        <v>90</v>
      </c>
      <c r="D87" s="17"/>
      <c r="E87" s="17">
        <v>300</v>
      </c>
      <c r="F87" s="17">
        <v>1</v>
      </c>
      <c r="G87" s="17">
        <f t="shared" si="9"/>
        <v>300</v>
      </c>
      <c r="H87" s="17">
        <v>300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Nキャスト&lt;73&gt;ME80E90</v>
      </c>
    </row>
    <row r="88" spans="1:11" hidden="1">
      <c r="A88" s="15" t="s">
        <v>278</v>
      </c>
      <c r="B88" s="16" t="s">
        <v>12</v>
      </c>
      <c r="C88" s="17">
        <v>140</v>
      </c>
      <c r="D88" s="17"/>
      <c r="E88" s="17">
        <v>300</v>
      </c>
      <c r="F88" s="17">
        <v>1</v>
      </c>
      <c r="G88" s="17">
        <f t="shared" si="9"/>
        <v>300</v>
      </c>
      <c r="H88" s="17">
        <v>10</v>
      </c>
      <c r="I88" s="17">
        <f t="shared" si="10"/>
        <v>290</v>
      </c>
      <c r="J88" s="17"/>
      <c r="K88" s="19" t="str">
        <f>CONCATENATE(Table2[[#This Row],[Specs]],Table2[[#This Row],[Width]],Table2[[#This Row],[Slitting]])</f>
        <v>Nキャスト&lt;73&gt;ME80E140</v>
      </c>
    </row>
    <row r="89" spans="1:11" hidden="1">
      <c r="A89" s="15" t="s">
        <v>279</v>
      </c>
      <c r="B89" s="18" t="s">
        <v>230</v>
      </c>
      <c r="C89" s="17">
        <v>220</v>
      </c>
      <c r="D89" s="17"/>
      <c r="E89" s="17">
        <v>600</v>
      </c>
      <c r="F89" s="17">
        <v>1</v>
      </c>
      <c r="G89" s="17">
        <f t="shared" si="9"/>
        <v>600</v>
      </c>
      <c r="H89" s="17">
        <v>600</v>
      </c>
      <c r="I89" s="17">
        <f t="shared" si="10"/>
        <v>0</v>
      </c>
      <c r="J89" s="17"/>
      <c r="K89" s="19" t="str">
        <f>CONCATENATE(Table2[[#This Row],[Specs]],Table2[[#This Row],[Width]],Table2[[#This Row],[Slitting]])</f>
        <v>N 上質&lt;55&gt;ME 80E220</v>
      </c>
    </row>
    <row r="90" spans="1:11">
      <c r="A90" s="15" t="s">
        <v>280</v>
      </c>
      <c r="B90" s="18" t="s">
        <v>249</v>
      </c>
      <c r="C90" s="17">
        <v>165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y ユポ80 MDN 8GB165</v>
      </c>
    </row>
    <row r="91" spans="1:11" hidden="1">
      <c r="A91" s="15" t="s">
        <v>280</v>
      </c>
      <c r="B91" s="17" t="s">
        <v>249</v>
      </c>
      <c r="C91" s="17">
        <v>215</v>
      </c>
      <c r="D91" s="17"/>
      <c r="E91" s="17">
        <v>600</v>
      </c>
      <c r="F91" s="17">
        <v>1</v>
      </c>
      <c r="G91" s="17">
        <f t="shared" si="9"/>
        <v>600</v>
      </c>
      <c r="H91" s="17"/>
      <c r="I91" s="17">
        <f t="shared" si="10"/>
        <v>600</v>
      </c>
      <c r="J91" s="17"/>
      <c r="K91" s="19" t="str">
        <f>CONCATENATE(Table2[[#This Row],[Specs]],Table2[[#This Row],[Width]],Table2[[#This Row],[Slitting]])</f>
        <v>y ユポ80 MDN 8GB215</v>
      </c>
    </row>
    <row r="92" spans="1:11" hidden="1">
      <c r="A92" s="15" t="s">
        <v>279</v>
      </c>
      <c r="B92" s="16" t="s">
        <v>230</v>
      </c>
      <c r="C92" s="17">
        <v>220</v>
      </c>
      <c r="D92" s="17"/>
      <c r="E92" s="17">
        <v>500</v>
      </c>
      <c r="F92" s="17">
        <v>1</v>
      </c>
      <c r="G92" s="17">
        <f t="shared" si="9"/>
        <v>500</v>
      </c>
      <c r="H92" s="17">
        <v>400</v>
      </c>
      <c r="I92" s="17">
        <f t="shared" si="10"/>
        <v>100</v>
      </c>
      <c r="J92" s="17"/>
      <c r="K92" s="19" t="str">
        <f>CONCATENATE(Table2[[#This Row],[Specs]],Table2[[#This Row],[Width]],Table2[[#This Row],[Slitting]])</f>
        <v>N 上質&lt;55&gt;ME 80E220</v>
      </c>
    </row>
    <row r="93" spans="1:11" hidden="1">
      <c r="A93" s="15" t="s">
        <v>282</v>
      </c>
      <c r="B93" s="18" t="s">
        <v>249</v>
      </c>
      <c r="C93" s="17">
        <v>155</v>
      </c>
      <c r="D93" s="17"/>
      <c r="E93" s="17">
        <v>600</v>
      </c>
      <c r="F93" s="17">
        <v>1</v>
      </c>
      <c r="G93" s="17">
        <f t="shared" si="9"/>
        <v>600</v>
      </c>
      <c r="H93" s="17">
        <v>600</v>
      </c>
      <c r="I93" s="17">
        <f t="shared" si="10"/>
        <v>0</v>
      </c>
      <c r="J93" s="17"/>
      <c r="K93" s="19" t="str">
        <f>CONCATENATE(Table2[[#This Row],[Specs]],Table2[[#This Row],[Width]],Table2[[#This Row],[Slitting]])</f>
        <v>y ユポ80 MDN 8GB155</v>
      </c>
    </row>
    <row r="94" spans="1:11" hidden="1">
      <c r="A94" s="15" t="s">
        <v>282</v>
      </c>
      <c r="B94" s="17" t="s">
        <v>12</v>
      </c>
      <c r="C94" s="17">
        <v>90</v>
      </c>
      <c r="D94" s="17"/>
      <c r="E94" s="17">
        <v>600</v>
      </c>
      <c r="F94" s="17">
        <v>1</v>
      </c>
      <c r="G94" s="17">
        <f t="shared" ref="G94:G99" si="11">F94*E94</f>
        <v>600</v>
      </c>
      <c r="H94" s="17"/>
      <c r="I94" s="17">
        <f t="shared" ref="I94:I99" si="12">G94-H94</f>
        <v>600</v>
      </c>
      <c r="J94" s="17"/>
      <c r="K94" s="19" t="str">
        <f>CONCATENATE(Table2[[#This Row],[Specs]],Table2[[#This Row],[Width]],Table2[[#This Row],[Slitting]])</f>
        <v>Nキャスト&lt;73&gt;ME80E90</v>
      </c>
    </row>
    <row r="95" spans="1:11" hidden="1">
      <c r="A95" s="15" t="s">
        <v>282</v>
      </c>
      <c r="B95" s="16" t="s">
        <v>12</v>
      </c>
      <c r="C95" s="17">
        <v>90</v>
      </c>
      <c r="D95" s="17"/>
      <c r="E95" s="17">
        <v>600</v>
      </c>
      <c r="F95" s="17">
        <v>1</v>
      </c>
      <c r="G95" s="17">
        <f t="shared" si="11"/>
        <v>600</v>
      </c>
      <c r="H95" s="17">
        <v>600</v>
      </c>
      <c r="I95" s="17">
        <f t="shared" si="12"/>
        <v>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>
      <c r="A96" s="15" t="s">
        <v>282</v>
      </c>
      <c r="B96" s="18" t="s">
        <v>249</v>
      </c>
      <c r="C96" s="17">
        <v>165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y ユポ80 MDN 8GB165</v>
      </c>
    </row>
    <row r="97" spans="1:11" hidden="1">
      <c r="A97" s="15" t="s">
        <v>282</v>
      </c>
      <c r="B97" s="18" t="s">
        <v>249</v>
      </c>
      <c r="C97" s="17">
        <v>155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8GB155</v>
      </c>
    </row>
    <row r="98" spans="1:11" hidden="1">
      <c r="A98" s="15" t="s">
        <v>282</v>
      </c>
      <c r="B98" s="16" t="s">
        <v>12</v>
      </c>
      <c r="C98" s="17">
        <v>90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Nキャスト&lt;73&gt;ME80E90</v>
      </c>
    </row>
    <row r="99" spans="1:11">
      <c r="A99" s="15" t="s">
        <v>283</v>
      </c>
      <c r="B99" s="18" t="s">
        <v>249</v>
      </c>
      <c r="C99" s="17">
        <v>165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y ユポ80 MDN 8GB165</v>
      </c>
    </row>
    <row r="100" spans="1:11">
      <c r="A100" s="15" t="s">
        <v>283</v>
      </c>
      <c r="B100" s="18" t="s">
        <v>249</v>
      </c>
      <c r="C100" s="17">
        <v>165</v>
      </c>
      <c r="D100" s="17"/>
      <c r="E100" s="17">
        <v>600</v>
      </c>
      <c r="F100" s="17">
        <v>1</v>
      </c>
      <c r="G100" s="17">
        <f t="shared" ref="G100:G105" si="13">F100*E100</f>
        <v>600</v>
      </c>
      <c r="H100" s="17">
        <v>600</v>
      </c>
      <c r="I100" s="17">
        <f t="shared" ref="I100:I105" si="14">G100-H100</f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>
      <c r="A101" s="15" t="s">
        <v>284</v>
      </c>
      <c r="B101" s="18" t="s">
        <v>249</v>
      </c>
      <c r="C101" s="17">
        <v>165</v>
      </c>
      <c r="D101" s="17"/>
      <c r="E101" s="17">
        <v>600</v>
      </c>
      <c r="F101" s="17">
        <v>1</v>
      </c>
      <c r="G101" s="17">
        <f t="shared" si="13"/>
        <v>600</v>
      </c>
      <c r="H101" s="17">
        <v>600</v>
      </c>
      <c r="I101" s="17">
        <f t="shared" si="14"/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 hidden="1">
      <c r="A102" s="15" t="s">
        <v>284</v>
      </c>
      <c r="B102" s="16" t="s">
        <v>249</v>
      </c>
      <c r="C102" s="17">
        <v>185</v>
      </c>
      <c r="D102" s="17" t="s">
        <v>261</v>
      </c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8GB185i 一本刃</v>
      </c>
    </row>
    <row r="103" spans="1:11">
      <c r="A103" s="15" t="s">
        <v>284</v>
      </c>
      <c r="B103" s="18" t="s">
        <v>249</v>
      </c>
      <c r="C103" s="17">
        <v>165</v>
      </c>
      <c r="D103" s="17"/>
      <c r="E103" s="17">
        <v>600</v>
      </c>
      <c r="F103" s="17">
        <v>1</v>
      </c>
      <c r="G103" s="17">
        <f t="shared" si="13"/>
        <v>600</v>
      </c>
      <c r="H103" s="17">
        <v>600</v>
      </c>
      <c r="I103" s="17">
        <f t="shared" si="14"/>
        <v>0</v>
      </c>
      <c r="J103" s="17"/>
      <c r="K103" s="19" t="str">
        <f>CONCATENATE(Table2[[#This Row],[Specs]],Table2[[#This Row],[Width]],Table2[[#This Row],[Slitting]])</f>
        <v>y ユポ80 MDN 8GB165</v>
      </c>
    </row>
    <row r="104" spans="1:11" hidden="1">
      <c r="A104" s="15" t="s">
        <v>285</v>
      </c>
      <c r="B104" s="16" t="s">
        <v>286</v>
      </c>
      <c r="C104" s="17">
        <v>100</v>
      </c>
      <c r="D104" s="17"/>
      <c r="E104" s="17">
        <v>500</v>
      </c>
      <c r="F104" s="17">
        <v>1</v>
      </c>
      <c r="G104" s="17">
        <f t="shared" si="13"/>
        <v>500</v>
      </c>
      <c r="H104" s="17"/>
      <c r="I104" s="17">
        <f t="shared" si="14"/>
        <v>500</v>
      </c>
      <c r="J104" s="17"/>
      <c r="K104" s="19" t="str">
        <f>CONCATENATE(Table2[[#This Row],[Specs]],Table2[[#This Row],[Width]],Table2[[#This Row],[Slitting]])</f>
        <v>SLアートN/P91/g7B100</v>
      </c>
    </row>
    <row r="105" spans="1:11" hidden="1">
      <c r="A105" s="15" t="s">
        <v>287</v>
      </c>
      <c r="B105" s="16" t="s">
        <v>286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 hidden="1">
      <c r="A106" s="15" t="s">
        <v>287</v>
      </c>
      <c r="B106" s="16" t="s">
        <v>286</v>
      </c>
      <c r="C106" s="17">
        <v>100</v>
      </c>
      <c r="D106" s="17"/>
      <c r="E106" s="17">
        <v>350</v>
      </c>
      <c r="F106" s="17">
        <v>1</v>
      </c>
      <c r="G106" s="17">
        <f t="shared" ref="G106:G111" si="15">F106*E106</f>
        <v>350</v>
      </c>
      <c r="H106" s="17"/>
      <c r="I106" s="17">
        <f t="shared" ref="I106:I111" si="16">G106-H106</f>
        <v>350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 hidden="1">
      <c r="A107" s="15" t="s">
        <v>287</v>
      </c>
      <c r="B107" s="16" t="s">
        <v>286</v>
      </c>
      <c r="C107" s="17">
        <v>100</v>
      </c>
      <c r="D107" s="17"/>
      <c r="E107" s="17">
        <v>350</v>
      </c>
      <c r="F107" s="17">
        <v>1</v>
      </c>
      <c r="G107" s="17">
        <f t="shared" si="15"/>
        <v>350</v>
      </c>
      <c r="H107" s="17"/>
      <c r="I107" s="17">
        <f t="shared" si="16"/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 hidden="1">
      <c r="A108" s="15" t="s">
        <v>287</v>
      </c>
      <c r="B108" s="16" t="s">
        <v>286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>
        <v>250</v>
      </c>
      <c r="I108" s="17">
        <f t="shared" si="16"/>
        <v>100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 hidden="1">
      <c r="A109" s="15" t="s">
        <v>289</v>
      </c>
      <c r="B109" s="16" t="s">
        <v>290</v>
      </c>
      <c r="C109" s="17">
        <v>90</v>
      </c>
      <c r="D109" s="17"/>
      <c r="E109" s="17">
        <v>600</v>
      </c>
      <c r="F109" s="17">
        <v>1</v>
      </c>
      <c r="G109" s="17">
        <f t="shared" si="15"/>
        <v>600</v>
      </c>
      <c r="H109" s="17"/>
      <c r="I109" s="17">
        <f t="shared" si="16"/>
        <v>600</v>
      </c>
      <c r="J109" s="17"/>
      <c r="K109" s="19" t="str">
        <f>CONCATENATE(Table2[[#This Row],[Specs]],Table2[[#This Row],[Width]],Table2[[#This Row],[Slitting]])</f>
        <v>j 上質&lt;70&gt; ME 7GB90</v>
      </c>
    </row>
    <row r="110" spans="1:11" hidden="1">
      <c r="A110" s="15" t="s">
        <v>289</v>
      </c>
      <c r="B110" s="16" t="s">
        <v>290</v>
      </c>
      <c r="C110" s="17">
        <v>140</v>
      </c>
      <c r="D110" s="17"/>
      <c r="E110" s="17">
        <v>600</v>
      </c>
      <c r="F110" s="17">
        <v>1</v>
      </c>
      <c r="G110" s="17">
        <f t="shared" si="15"/>
        <v>600</v>
      </c>
      <c r="H110" s="17">
        <v>80</v>
      </c>
      <c r="I110" s="17">
        <f t="shared" si="16"/>
        <v>520</v>
      </c>
      <c r="J110" s="17"/>
      <c r="K110" s="19" t="str">
        <f>CONCATENATE(Table2[[#This Row],[Specs]],Table2[[#This Row],[Width]],Table2[[#This Row],[Slitting]])</f>
        <v>j 上質&lt;70&gt; ME 7GB140</v>
      </c>
    </row>
    <row r="111" spans="1:11" hidden="1">
      <c r="A111" s="15" t="s">
        <v>292</v>
      </c>
      <c r="B111" s="18" t="s">
        <v>249</v>
      </c>
      <c r="C111" s="17">
        <v>185</v>
      </c>
      <c r="D111" s="17" t="s">
        <v>261</v>
      </c>
      <c r="E111" s="17">
        <v>600</v>
      </c>
      <c r="F111" s="17">
        <v>1</v>
      </c>
      <c r="G111" s="17">
        <f t="shared" si="15"/>
        <v>600</v>
      </c>
      <c r="H111" s="17">
        <v>600</v>
      </c>
      <c r="I111" s="17">
        <f t="shared" si="16"/>
        <v>0</v>
      </c>
      <c r="J111" s="17"/>
      <c r="K111" s="19" t="str">
        <f>CONCATENATE(Table2[[#This Row],[Specs]],Table2[[#This Row],[Width]],Table2[[#This Row],[Slitting]])</f>
        <v>y ユポ80 MDN 8GB185i 一本刃</v>
      </c>
    </row>
    <row r="112" spans="1:11">
      <c r="A112" s="15" t="s">
        <v>293</v>
      </c>
      <c r="B112" s="18" t="s">
        <v>249</v>
      </c>
      <c r="C112" s="17">
        <v>165</v>
      </c>
      <c r="D112" s="17"/>
      <c r="E112" s="17">
        <v>600</v>
      </c>
      <c r="F112" s="17">
        <v>1</v>
      </c>
      <c r="G112" s="17">
        <f t="shared" ref="G112:G119" si="17">F112*E112</f>
        <v>600</v>
      </c>
      <c r="H112" s="17">
        <v>600</v>
      </c>
      <c r="I112" s="17">
        <f t="shared" ref="I112:I119" si="18">G112-H112</f>
        <v>0</v>
      </c>
      <c r="J112" s="17"/>
      <c r="K112" s="19" t="str">
        <f>CONCATENATE(Table2[[#This Row],[Specs]],Table2[[#This Row],[Width]],Table2[[#This Row],[Slitting]])</f>
        <v>y ユポ80 MDN 8GB165</v>
      </c>
    </row>
    <row r="113" spans="1:11">
      <c r="A113" s="15" t="s">
        <v>293</v>
      </c>
      <c r="B113" s="18" t="s">
        <v>249</v>
      </c>
      <c r="C113" s="17">
        <v>165</v>
      </c>
      <c r="D113" s="17"/>
      <c r="E113" s="17">
        <v>600</v>
      </c>
      <c r="F113" s="17">
        <v>1</v>
      </c>
      <c r="G113" s="17">
        <f t="shared" si="17"/>
        <v>600</v>
      </c>
      <c r="H113" s="17">
        <v>600</v>
      </c>
      <c r="I113" s="17">
        <f t="shared" si="18"/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 hidden="1">
      <c r="A114" s="15" t="s">
        <v>293</v>
      </c>
      <c r="B114" s="18" t="s">
        <v>257</v>
      </c>
      <c r="C114" s="17">
        <v>160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j 上質&lt;70&gt; ME 7GB160</v>
      </c>
    </row>
    <row r="115" spans="1:11" hidden="1">
      <c r="A115" s="15" t="s">
        <v>293</v>
      </c>
      <c r="B115" s="16" t="s">
        <v>257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550</v>
      </c>
      <c r="I115" s="17">
        <f t="shared" si="18"/>
        <v>50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>
      <c r="A116" s="15" t="s">
        <v>294</v>
      </c>
      <c r="B116" s="18" t="s">
        <v>249</v>
      </c>
      <c r="C116" s="17">
        <v>165</v>
      </c>
      <c r="D116" s="17"/>
      <c r="E116" s="17">
        <v>600</v>
      </c>
      <c r="F116" s="17">
        <v>1</v>
      </c>
      <c r="G116" s="17">
        <f t="shared" si="17"/>
        <v>600</v>
      </c>
      <c r="H116" s="17">
        <v>600</v>
      </c>
      <c r="I116" s="17">
        <f t="shared" si="18"/>
        <v>0</v>
      </c>
      <c r="J116" s="17"/>
      <c r="K116" s="19" t="str">
        <f>CONCATENATE(Table2[[#This Row],[Specs]],Table2[[#This Row],[Width]],Table2[[#This Row],[Slitting]])</f>
        <v>y ユポ80 MDN 8GB165</v>
      </c>
    </row>
    <row r="117" spans="1:11">
      <c r="A117" s="15" t="s">
        <v>294</v>
      </c>
      <c r="B117" s="18" t="s">
        <v>249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>
      <c r="A118" s="15" t="s">
        <v>294</v>
      </c>
      <c r="B118" s="18" t="s">
        <v>249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>
      <c r="A119" s="15" t="s">
        <v>295</v>
      </c>
      <c r="B119" s="18" t="s">
        <v>249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 hidden="1">
      <c r="A120" s="15" t="s">
        <v>295</v>
      </c>
      <c r="B120" s="17" t="s">
        <v>249</v>
      </c>
      <c r="C120" s="17">
        <v>185</v>
      </c>
      <c r="D120" s="17"/>
      <c r="E120" s="17">
        <v>600</v>
      </c>
      <c r="F120" s="17">
        <v>1</v>
      </c>
      <c r="G120" s="17">
        <f t="shared" ref="G120:G126" si="19">F120*E120</f>
        <v>600</v>
      </c>
      <c r="H120" s="17">
        <v>600</v>
      </c>
      <c r="I120" s="17">
        <f t="shared" ref="I120:I126" si="20">G120-H120</f>
        <v>0</v>
      </c>
      <c r="J120" s="17"/>
      <c r="K120" s="19" t="str">
        <f>CONCATENATE(Table2[[#This Row],[Specs]],Table2[[#This Row],[Width]],Table2[[#This Row],[Slitting]])</f>
        <v>y ユポ80 MDN 8GB185</v>
      </c>
    </row>
    <row r="121" spans="1:11" hidden="1">
      <c r="A121" s="15" t="s">
        <v>295</v>
      </c>
      <c r="B121" s="18" t="s">
        <v>249</v>
      </c>
      <c r="C121" s="17">
        <v>125</v>
      </c>
      <c r="D121" s="17"/>
      <c r="E121" s="17">
        <v>600</v>
      </c>
      <c r="F121" s="17">
        <v>1</v>
      </c>
      <c r="G121" s="17">
        <f t="shared" si="19"/>
        <v>600</v>
      </c>
      <c r="H121" s="17">
        <v>600</v>
      </c>
      <c r="I121" s="17">
        <f t="shared" si="20"/>
        <v>0</v>
      </c>
      <c r="J121" s="17"/>
      <c r="K121" s="19" t="str">
        <f>CONCATENATE(Table2[[#This Row],[Specs]],Table2[[#This Row],[Width]],Table2[[#This Row],[Slitting]])</f>
        <v>y ユポ80 MDN 8GB125</v>
      </c>
    </row>
    <row r="122" spans="1:11">
      <c r="A122" s="15" t="s">
        <v>296</v>
      </c>
      <c r="B122" s="18" t="s">
        <v>249</v>
      </c>
      <c r="C122" s="17">
        <v>165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8GB165</v>
      </c>
    </row>
    <row r="123" spans="1:11">
      <c r="A123" s="15" t="s">
        <v>296</v>
      </c>
      <c r="B123" s="18" t="s">
        <v>249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 hidden="1">
      <c r="A124" s="15" t="s">
        <v>297</v>
      </c>
      <c r="B124" s="16" t="s">
        <v>249</v>
      </c>
      <c r="C124" s="17">
        <v>140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8GB140</v>
      </c>
    </row>
    <row r="125" spans="1:11" hidden="1">
      <c r="A125" s="15" t="s">
        <v>298</v>
      </c>
      <c r="B125" s="17" t="s">
        <v>300</v>
      </c>
      <c r="C125" s="17">
        <v>140</v>
      </c>
      <c r="D125" s="17"/>
      <c r="E125" s="17">
        <v>500</v>
      </c>
      <c r="F125" s="17">
        <v>1</v>
      </c>
      <c r="G125" s="17">
        <f t="shared" si="19"/>
        <v>500</v>
      </c>
      <c r="H125" s="17"/>
      <c r="I125" s="17">
        <f t="shared" si="20"/>
        <v>500</v>
      </c>
      <c r="J125" s="17"/>
      <c r="K125" s="19" t="str">
        <f>CONCATENATE(Table2[[#This Row],[Specs]],Table2[[#This Row],[Width]],Table2[[#This Row],[Slitting]])</f>
        <v>N アート７３ME７GB140</v>
      </c>
    </row>
    <row r="126" spans="1:11" hidden="1">
      <c r="A126" s="15" t="s">
        <v>299</v>
      </c>
      <c r="B126" s="18" t="s">
        <v>249</v>
      </c>
      <c r="C126" s="17">
        <v>155</v>
      </c>
      <c r="D126" s="17"/>
      <c r="E126" s="17">
        <v>600</v>
      </c>
      <c r="F126" s="17">
        <v>1</v>
      </c>
      <c r="G126" s="17">
        <f t="shared" si="19"/>
        <v>600</v>
      </c>
      <c r="H126" s="17">
        <v>600</v>
      </c>
      <c r="I126" s="17">
        <f t="shared" si="20"/>
        <v>0</v>
      </c>
      <c r="J126" s="17"/>
      <c r="K126" s="19" t="str">
        <f>CONCATENATE(Table2[[#This Row],[Specs]],Table2[[#This Row],[Width]],Table2[[#This Row],[Slitting]])</f>
        <v>y ユポ80 MDN 8GB155</v>
      </c>
    </row>
    <row r="127" spans="1:11" hidden="1">
      <c r="A127" s="15" t="s">
        <v>299</v>
      </c>
      <c r="B127" s="16" t="s">
        <v>301</v>
      </c>
      <c r="C127" s="17">
        <v>210</v>
      </c>
      <c r="D127" s="17"/>
      <c r="E127" s="17">
        <v>1000</v>
      </c>
      <c r="F127" s="17">
        <v>1</v>
      </c>
      <c r="G127" s="17">
        <f t="shared" ref="G127:G132" si="21">F127*E127</f>
        <v>1000</v>
      </c>
      <c r="H127" s="17">
        <v>1000</v>
      </c>
      <c r="I127" s="17">
        <f t="shared" ref="I127:I132" si="22">G127-H127</f>
        <v>0</v>
      </c>
      <c r="J127" s="17"/>
      <c r="K127" s="19" t="str">
        <f>CONCATENATE(Table2[[#This Row],[Specs]],Table2[[#This Row],[Width]],Table2[[#This Row],[Slitting]])</f>
        <v>TWF55P16U5W210</v>
      </c>
    </row>
    <row r="128" spans="1:11" hidden="1">
      <c r="A128" s="15" t="s">
        <v>302</v>
      </c>
      <c r="B128" s="16" t="s">
        <v>249</v>
      </c>
      <c r="C128" s="17">
        <v>115</v>
      </c>
      <c r="D128" s="17"/>
      <c r="E128" s="17">
        <v>600</v>
      </c>
      <c r="F128" s="17">
        <v>1</v>
      </c>
      <c r="G128" s="17">
        <f t="shared" si="21"/>
        <v>600</v>
      </c>
      <c r="H128" s="17">
        <v>300</v>
      </c>
      <c r="I128" s="17">
        <f t="shared" si="22"/>
        <v>300</v>
      </c>
      <c r="J128" s="17"/>
      <c r="K128" s="19" t="str">
        <f>CONCATENATE(Table2[[#This Row],[Specs]],Table2[[#This Row],[Width]],Table2[[#This Row],[Slitting]])</f>
        <v>y ユポ80 MDN 8GB115</v>
      </c>
    </row>
    <row r="129" spans="1:13" hidden="1">
      <c r="A129" s="15" t="s">
        <v>303</v>
      </c>
      <c r="B129" s="16" t="s">
        <v>249</v>
      </c>
      <c r="C129" s="17">
        <v>155</v>
      </c>
      <c r="D129" s="17"/>
      <c r="E129" s="17">
        <v>600</v>
      </c>
      <c r="F129" s="17">
        <v>1</v>
      </c>
      <c r="G129" s="17">
        <f t="shared" si="21"/>
        <v>600</v>
      </c>
      <c r="H129" s="17">
        <v>400</v>
      </c>
      <c r="I129" s="17">
        <f t="shared" si="22"/>
        <v>200</v>
      </c>
      <c r="J129" s="17"/>
      <c r="K129" s="19" t="str">
        <f>CONCATENATE(Table2[[#This Row],[Specs]],Table2[[#This Row],[Width]],Table2[[#This Row],[Slitting]])</f>
        <v>y ユポ80 MDN 8GB155</v>
      </c>
    </row>
    <row r="130" spans="1:13">
      <c r="A130" s="15" t="s">
        <v>304</v>
      </c>
      <c r="B130" s="18" t="s">
        <v>249</v>
      </c>
      <c r="C130" s="17">
        <v>165</v>
      </c>
      <c r="D130" s="17"/>
      <c r="E130" s="17">
        <v>600</v>
      </c>
      <c r="F130" s="17">
        <v>1</v>
      </c>
      <c r="G130" s="17">
        <f t="shared" si="21"/>
        <v>600</v>
      </c>
      <c r="H130" s="17">
        <v>600</v>
      </c>
      <c r="I130" s="17">
        <f t="shared" si="22"/>
        <v>0</v>
      </c>
      <c r="J130" s="17"/>
      <c r="K130" s="19" t="str">
        <f>CONCATENATE(Table2[[#This Row],[Specs]],Table2[[#This Row],[Width]],Table2[[#This Row],[Slitting]])</f>
        <v>y ユポ80 MDN 8GB165</v>
      </c>
    </row>
    <row r="131" spans="1:13">
      <c r="A131" s="15" t="s">
        <v>304</v>
      </c>
      <c r="B131" s="16" t="s">
        <v>249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 hidden="1">
      <c r="A132" s="15" t="s">
        <v>313</v>
      </c>
      <c r="B132" s="16" t="s">
        <v>249</v>
      </c>
      <c r="C132" s="17">
        <v>125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8GB125</v>
      </c>
    </row>
    <row r="133" spans="1:13" hidden="1">
      <c r="A133" s="15" t="s">
        <v>314</v>
      </c>
      <c r="B133" s="16" t="s">
        <v>249</v>
      </c>
      <c r="C133" s="17">
        <v>125</v>
      </c>
      <c r="D133" s="17"/>
      <c r="E133" s="17">
        <v>600</v>
      </c>
      <c r="F133" s="17">
        <v>1</v>
      </c>
      <c r="G133" s="17">
        <f t="shared" ref="G133:G139" si="23">F133*E133</f>
        <v>600</v>
      </c>
      <c r="H133" s="17">
        <v>600</v>
      </c>
      <c r="I133" s="17">
        <f t="shared" ref="I133:I139" si="24">G133-H133</f>
        <v>0</v>
      </c>
      <c r="J133" s="17"/>
      <c r="K133" s="19" t="str">
        <f>CONCATENATE(Table2[[#This Row],[Specs]],Table2[[#This Row],[Width]],Table2[[#This Row],[Slitting]])</f>
        <v>y ユポ80 MDN 8GB125</v>
      </c>
      <c r="M133" s="9" t="s">
        <v>315</v>
      </c>
    </row>
    <row r="134" spans="1:13">
      <c r="A134" s="15" t="s">
        <v>314</v>
      </c>
      <c r="B134" s="16" t="s">
        <v>249</v>
      </c>
      <c r="C134" s="17">
        <v>165</v>
      </c>
      <c r="D134" s="17"/>
      <c r="E134" s="17">
        <v>600</v>
      </c>
      <c r="F134" s="17">
        <v>1</v>
      </c>
      <c r="G134" s="17">
        <f t="shared" si="23"/>
        <v>600</v>
      </c>
      <c r="H134" s="17">
        <v>600</v>
      </c>
      <c r="I134" s="17">
        <f t="shared" si="24"/>
        <v>0</v>
      </c>
      <c r="J134" s="17"/>
      <c r="K134" s="19" t="str">
        <f>CONCATENATE(Table2[[#This Row],[Specs]],Table2[[#This Row],[Width]],Table2[[#This Row],[Slitting]])</f>
        <v>y ユポ80 MDN 8GB165</v>
      </c>
    </row>
    <row r="135" spans="1:13" hidden="1">
      <c r="A135" s="15" t="s">
        <v>314</v>
      </c>
      <c r="B135" s="16" t="s">
        <v>249</v>
      </c>
      <c r="C135" s="17">
        <v>140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8GB140</v>
      </c>
    </row>
    <row r="136" spans="1:13">
      <c r="A136" s="15" t="s">
        <v>314</v>
      </c>
      <c r="B136" s="16" t="s">
        <v>249</v>
      </c>
      <c r="C136" s="17">
        <v>165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8GB165</v>
      </c>
    </row>
    <row r="137" spans="1:13" hidden="1">
      <c r="A137" s="15" t="s">
        <v>314</v>
      </c>
      <c r="B137" s="16" t="s">
        <v>12</v>
      </c>
      <c r="C137" s="17">
        <v>120</v>
      </c>
      <c r="D137" s="17"/>
      <c r="E137" s="17">
        <v>600</v>
      </c>
      <c r="F137" s="17">
        <v>1</v>
      </c>
      <c r="G137" s="17">
        <f t="shared" si="23"/>
        <v>600</v>
      </c>
      <c r="H137" s="17">
        <v>200</v>
      </c>
      <c r="I137" s="17">
        <f t="shared" si="24"/>
        <v>400</v>
      </c>
      <c r="J137" s="17"/>
      <c r="K137" s="19" t="str">
        <f>CONCATENATE(Table2[[#This Row],[Specs]],Table2[[#This Row],[Width]],Table2[[#This Row],[Slitting]])</f>
        <v>Nキャスト&lt;73&gt;ME80E120</v>
      </c>
    </row>
    <row r="138" spans="1:13">
      <c r="A138" s="15" t="s">
        <v>314</v>
      </c>
      <c r="B138" s="16" t="s">
        <v>249</v>
      </c>
      <c r="C138" s="17">
        <v>165</v>
      </c>
      <c r="D138" s="17"/>
      <c r="E138" s="17">
        <v>600</v>
      </c>
      <c r="F138" s="17">
        <v>1</v>
      </c>
      <c r="G138" s="17">
        <f t="shared" si="23"/>
        <v>600</v>
      </c>
      <c r="H138" s="17">
        <v>600</v>
      </c>
      <c r="I138" s="17">
        <f t="shared" si="24"/>
        <v>0</v>
      </c>
      <c r="J138" s="17"/>
      <c r="K138" s="19" t="str">
        <f>CONCATENATE(Table2[[#This Row],[Specs]],Table2[[#This Row],[Width]],Table2[[#This Row],[Slitting]])</f>
        <v>y ユポ80 MDN 8GB165</v>
      </c>
    </row>
    <row r="139" spans="1:13" hidden="1">
      <c r="A139" s="15" t="s">
        <v>317</v>
      </c>
      <c r="B139" s="16" t="s">
        <v>229</v>
      </c>
      <c r="C139" s="17">
        <v>130</v>
      </c>
      <c r="D139" s="17"/>
      <c r="E139" s="17">
        <v>600</v>
      </c>
      <c r="F139" s="17">
        <v>1</v>
      </c>
      <c r="G139" s="17">
        <f t="shared" si="23"/>
        <v>600</v>
      </c>
      <c r="H139" s="17">
        <v>570</v>
      </c>
      <c r="I139" s="17">
        <f t="shared" si="24"/>
        <v>30</v>
      </c>
      <c r="J139" s="17"/>
      <c r="K139" s="19" t="str">
        <f>CONCATENATE(Table2[[#This Row],[Specs]],Table2[[#This Row],[Width]],Table2[[#This Row],[Slitting]])</f>
        <v>N 上質&lt;55&gt;ME 7GB130</v>
      </c>
    </row>
    <row r="140" spans="1:13">
      <c r="A140" s="15" t="s">
        <v>318</v>
      </c>
      <c r="B140" s="16" t="s">
        <v>249</v>
      </c>
      <c r="C140" s="17">
        <v>165</v>
      </c>
      <c r="D140" s="17"/>
      <c r="E140" s="17">
        <v>600</v>
      </c>
      <c r="F140" s="17">
        <v>1</v>
      </c>
      <c r="G140" s="17">
        <f t="shared" ref="G140:G150" si="25">F140*E140</f>
        <v>600</v>
      </c>
      <c r="H140" s="17">
        <v>600</v>
      </c>
      <c r="I140" s="17">
        <f t="shared" ref="I140:I150" si="26">G140-H140</f>
        <v>0</v>
      </c>
      <c r="J140" s="17"/>
      <c r="K140" s="19" t="str">
        <f>CONCATENATE(Table2[[#This Row],[Specs]],Table2[[#This Row],[Width]],Table2[[#This Row],[Slitting]])</f>
        <v>y ユポ80 MDN 8GB165</v>
      </c>
    </row>
    <row r="141" spans="1:13">
      <c r="A141" s="15" t="s">
        <v>318</v>
      </c>
      <c r="B141" s="16" t="s">
        <v>249</v>
      </c>
      <c r="C141" s="17">
        <v>165</v>
      </c>
      <c r="D141" s="17"/>
      <c r="E141" s="17">
        <v>600</v>
      </c>
      <c r="F141" s="17">
        <v>1</v>
      </c>
      <c r="G141" s="17">
        <f t="shared" si="25"/>
        <v>600</v>
      </c>
      <c r="H141" s="17">
        <v>600</v>
      </c>
      <c r="I141" s="17">
        <f t="shared" si="26"/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 hidden="1">
      <c r="A142" s="15" t="s">
        <v>320</v>
      </c>
      <c r="B142" s="16" t="s">
        <v>249</v>
      </c>
      <c r="C142" s="17">
        <v>140</v>
      </c>
      <c r="D142" s="17"/>
      <c r="E142" s="17">
        <v>600</v>
      </c>
      <c r="F142" s="17">
        <v>1</v>
      </c>
      <c r="G142" s="17">
        <f t="shared" si="25"/>
        <v>600</v>
      </c>
      <c r="H142" s="17">
        <v>600</v>
      </c>
      <c r="I142" s="17">
        <f t="shared" si="26"/>
        <v>0</v>
      </c>
      <c r="J142" s="17"/>
      <c r="K142" s="19" t="str">
        <f>CONCATENATE(Table2[[#This Row],[Specs]],Table2[[#This Row],[Width]],Table2[[#This Row],[Slitting]])</f>
        <v>y ユポ80 MDN 8GB140</v>
      </c>
    </row>
    <row r="143" spans="1:13">
      <c r="A143" s="15" t="s">
        <v>321</v>
      </c>
      <c r="B143" s="16" t="s">
        <v>249</v>
      </c>
      <c r="C143" s="17">
        <v>165</v>
      </c>
      <c r="D143" s="17"/>
      <c r="E143" s="17">
        <v>600</v>
      </c>
      <c r="F143" s="17">
        <v>1</v>
      </c>
      <c r="G143" s="17">
        <f t="shared" si="25"/>
        <v>600</v>
      </c>
      <c r="H143" s="17">
        <v>600</v>
      </c>
      <c r="I143" s="17">
        <f t="shared" si="26"/>
        <v>0</v>
      </c>
      <c r="J143" s="17"/>
      <c r="K143" s="19" t="str">
        <f>CONCATENATE(Table2[[#This Row],[Specs]],Table2[[#This Row],[Width]],Table2[[#This Row],[Slitting]])</f>
        <v>y ユポ80 MDN 8GB165</v>
      </c>
    </row>
    <row r="144" spans="1:13" hidden="1">
      <c r="A144" s="15" t="s">
        <v>321</v>
      </c>
      <c r="B144" s="16" t="s">
        <v>249</v>
      </c>
      <c r="C144" s="17">
        <v>125</v>
      </c>
      <c r="D144" s="17"/>
      <c r="E144" s="17">
        <v>600</v>
      </c>
      <c r="F144" s="17">
        <v>1</v>
      </c>
      <c r="G144" s="17">
        <f t="shared" si="25"/>
        <v>600</v>
      </c>
      <c r="H144" s="17">
        <v>600</v>
      </c>
      <c r="I144" s="17">
        <f t="shared" si="26"/>
        <v>0</v>
      </c>
      <c r="J144" s="17"/>
      <c r="K144" s="19" t="str">
        <f>CONCATENATE(Table2[[#This Row],[Specs]],Table2[[#This Row],[Width]],Table2[[#This Row],[Slitting]])</f>
        <v>y ユポ80 MDN 8GB125</v>
      </c>
    </row>
    <row r="145" spans="1:11">
      <c r="A145" s="15" t="s">
        <v>321</v>
      </c>
      <c r="B145" s="16" t="s">
        <v>249</v>
      </c>
      <c r="C145" s="17">
        <v>165</v>
      </c>
      <c r="D145" s="17"/>
      <c r="E145" s="17">
        <v>600</v>
      </c>
      <c r="F145" s="17">
        <v>1</v>
      </c>
      <c r="G145" s="17">
        <f t="shared" si="25"/>
        <v>600</v>
      </c>
      <c r="H145" s="17">
        <v>600</v>
      </c>
      <c r="I145" s="17">
        <f t="shared" si="26"/>
        <v>0</v>
      </c>
      <c r="J145" s="17"/>
      <c r="K145" s="19" t="str">
        <f>CONCATENATE(Table2[[#This Row],[Specs]],Table2[[#This Row],[Width]],Table2[[#This Row],[Slitting]])</f>
        <v>y ユポ80 MDN 8GB165</v>
      </c>
    </row>
    <row r="146" spans="1:11" hidden="1">
      <c r="A146" s="15" t="s">
        <v>322</v>
      </c>
      <c r="B146" s="16" t="s">
        <v>229</v>
      </c>
      <c r="C146" s="17">
        <v>100</v>
      </c>
      <c r="D146" s="17"/>
      <c r="E146" s="17">
        <v>600</v>
      </c>
      <c r="F146" s="17">
        <v>1</v>
      </c>
      <c r="G146" s="17">
        <f t="shared" si="25"/>
        <v>600</v>
      </c>
      <c r="H146" s="17">
        <v>600</v>
      </c>
      <c r="I146" s="17">
        <f t="shared" si="26"/>
        <v>0</v>
      </c>
      <c r="J146" s="17"/>
      <c r="K146" s="19" t="str">
        <f>CONCATENATE(Table2[[#This Row],[Specs]],Table2[[#This Row],[Width]],Table2[[#This Row],[Slitting]])</f>
        <v>N 上質&lt;55&gt;ME 7GB100</v>
      </c>
    </row>
    <row r="147" spans="1:11" hidden="1">
      <c r="A147" s="15" t="s">
        <v>322</v>
      </c>
      <c r="B147" s="16" t="s">
        <v>249</v>
      </c>
      <c r="C147" s="17">
        <v>140</v>
      </c>
      <c r="D147" s="17"/>
      <c r="E147" s="17">
        <v>600</v>
      </c>
      <c r="F147" s="17">
        <v>1</v>
      </c>
      <c r="G147" s="17">
        <f t="shared" si="25"/>
        <v>600</v>
      </c>
      <c r="H147" s="17">
        <v>600</v>
      </c>
      <c r="I147" s="17">
        <f t="shared" si="26"/>
        <v>0</v>
      </c>
      <c r="J147" s="17"/>
      <c r="K147" s="19" t="str">
        <f>CONCATENATE(Table2[[#This Row],[Specs]],Table2[[#This Row],[Width]],Table2[[#This Row],[Slitting]])</f>
        <v>y ユポ80 MDN 8GB140</v>
      </c>
    </row>
    <row r="148" spans="1:11" hidden="1">
      <c r="A148" s="15" t="s">
        <v>322</v>
      </c>
      <c r="B148" s="16" t="s">
        <v>229</v>
      </c>
      <c r="C148" s="17">
        <v>100</v>
      </c>
      <c r="D148" s="17"/>
      <c r="E148" s="17">
        <v>600</v>
      </c>
      <c r="F148" s="17">
        <v>1</v>
      </c>
      <c r="G148" s="17">
        <f t="shared" si="25"/>
        <v>600</v>
      </c>
      <c r="H148" s="17">
        <v>550</v>
      </c>
      <c r="I148" s="17">
        <f t="shared" si="26"/>
        <v>50</v>
      </c>
      <c r="J148" s="17"/>
      <c r="K148" s="19" t="str">
        <f>CONCATENATE(Table2[[#This Row],[Specs]],Table2[[#This Row],[Width]],Table2[[#This Row],[Slitting]])</f>
        <v>N 上質&lt;55&gt;ME 7GB100</v>
      </c>
    </row>
    <row r="149" spans="1:11" hidden="1">
      <c r="A149" s="15" t="s">
        <v>322</v>
      </c>
      <c r="B149" s="16" t="s">
        <v>249</v>
      </c>
      <c r="C149" s="17">
        <v>140</v>
      </c>
      <c r="D149" s="17"/>
      <c r="E149" s="17">
        <v>600</v>
      </c>
      <c r="F149" s="17">
        <v>1</v>
      </c>
      <c r="G149" s="17">
        <f t="shared" si="25"/>
        <v>600</v>
      </c>
      <c r="H149" s="17">
        <v>600</v>
      </c>
      <c r="I149" s="17">
        <f t="shared" si="26"/>
        <v>0</v>
      </c>
      <c r="J149" s="17"/>
      <c r="K149" s="19" t="str">
        <f>CONCATENATE(Table2[[#This Row],[Specs]],Table2[[#This Row],[Width]],Table2[[#This Row],[Slitting]])</f>
        <v>y ユポ80 MDN 8GB140</v>
      </c>
    </row>
    <row r="150" spans="1:11" hidden="1">
      <c r="A150" s="15" t="s">
        <v>323</v>
      </c>
      <c r="B150" s="16" t="s">
        <v>249</v>
      </c>
      <c r="C150" s="17">
        <v>155</v>
      </c>
      <c r="D150" s="17" t="s">
        <v>261</v>
      </c>
      <c r="E150" s="17">
        <v>600</v>
      </c>
      <c r="F150" s="17">
        <v>1</v>
      </c>
      <c r="G150" s="17">
        <f t="shared" si="25"/>
        <v>600</v>
      </c>
      <c r="H150" s="17">
        <v>400</v>
      </c>
      <c r="I150" s="17">
        <f t="shared" si="26"/>
        <v>200</v>
      </c>
      <c r="J150" s="17"/>
      <c r="K150" s="19" t="str">
        <f>CONCATENATE(Table2[[#This Row],[Specs]],Table2[[#This Row],[Width]],Table2[[#This Row],[Slitting]])</f>
        <v>y ユポ80 MDN 8GB155i 一本刃</v>
      </c>
    </row>
    <row r="151" spans="1:11" hidden="1">
      <c r="A151" s="15" t="s">
        <v>324</v>
      </c>
      <c r="B151" s="16" t="s">
        <v>325</v>
      </c>
      <c r="C151" s="17">
        <v>110</v>
      </c>
      <c r="D151" s="17"/>
      <c r="E151" s="17">
        <v>200</v>
      </c>
      <c r="F151" s="17">
        <v>1</v>
      </c>
      <c r="G151" s="17">
        <f t="shared" ref="G151:G157" si="27">F151*E151</f>
        <v>200</v>
      </c>
      <c r="H151" s="17"/>
      <c r="I151" s="17">
        <f t="shared" ref="I151:I157" si="28">G151-H151</f>
        <v>200</v>
      </c>
      <c r="J151" s="17"/>
      <c r="K151" s="19" t="str">
        <f>CONCATENATE(Table2[[#This Row],[Specs]],Table2[[#This Row],[Width]],Table2[[#This Row],[Slitting]])</f>
        <v>PET50Sマット MP1 110HS110</v>
      </c>
    </row>
    <row r="152" spans="1:11" hidden="1">
      <c r="A152" s="15" t="s">
        <v>324</v>
      </c>
      <c r="B152" s="16" t="s">
        <v>325</v>
      </c>
      <c r="C152" s="17">
        <v>110</v>
      </c>
      <c r="D152" s="17"/>
      <c r="E152" s="17">
        <v>400</v>
      </c>
      <c r="F152" s="17">
        <v>1</v>
      </c>
      <c r="G152" s="17">
        <f t="shared" si="27"/>
        <v>400</v>
      </c>
      <c r="H152" s="17"/>
      <c r="I152" s="17">
        <f t="shared" si="28"/>
        <v>400</v>
      </c>
      <c r="J152" s="17"/>
      <c r="K152" s="19" t="str">
        <f>CONCATENATE(Table2[[#This Row],[Specs]],Table2[[#This Row],[Width]],Table2[[#This Row],[Slitting]])</f>
        <v>PET50Sマット MP1 110HS110</v>
      </c>
    </row>
    <row r="153" spans="1:11" hidden="1">
      <c r="A153" s="15" t="s">
        <v>326</v>
      </c>
      <c r="B153" s="16" t="s">
        <v>249</v>
      </c>
      <c r="C153" s="17">
        <v>185</v>
      </c>
      <c r="D153" s="17" t="s">
        <v>261</v>
      </c>
      <c r="E153" s="17">
        <v>600</v>
      </c>
      <c r="F153" s="17">
        <v>1</v>
      </c>
      <c r="G153" s="17">
        <f t="shared" si="27"/>
        <v>600</v>
      </c>
      <c r="H153" s="17">
        <v>100</v>
      </c>
      <c r="I153" s="17">
        <f t="shared" si="28"/>
        <v>500</v>
      </c>
      <c r="J153" s="17"/>
      <c r="K153" s="19" t="str">
        <f>CONCATENATE(Table2[[#This Row],[Specs]],Table2[[#This Row],[Width]],Table2[[#This Row],[Slitting]])</f>
        <v>y ユポ80 MDN 8GB185i 一本刃</v>
      </c>
    </row>
    <row r="154" spans="1:11">
      <c r="A154" s="15" t="s">
        <v>326</v>
      </c>
      <c r="B154" s="16" t="s">
        <v>249</v>
      </c>
      <c r="C154" s="17">
        <v>165</v>
      </c>
      <c r="D154" s="17"/>
      <c r="E154" s="17">
        <v>600</v>
      </c>
      <c r="F154" s="17">
        <v>1</v>
      </c>
      <c r="G154" s="17">
        <f t="shared" si="27"/>
        <v>600</v>
      </c>
      <c r="H154" s="17"/>
      <c r="I154" s="17">
        <f t="shared" si="28"/>
        <v>600</v>
      </c>
      <c r="J154" s="17"/>
      <c r="K154" s="19" t="str">
        <f>CONCATENATE(Table2[[#This Row],[Specs]],Table2[[#This Row],[Width]],Table2[[#This Row],[Slitting]])</f>
        <v>y ユポ80 MDN 8GB165</v>
      </c>
    </row>
    <row r="155" spans="1:11">
      <c r="A155" s="15" t="s">
        <v>326</v>
      </c>
      <c r="B155" s="16" t="s">
        <v>249</v>
      </c>
      <c r="C155" s="17">
        <v>165</v>
      </c>
      <c r="D155" s="17"/>
      <c r="E155" s="17">
        <v>600</v>
      </c>
      <c r="F155" s="17">
        <v>1</v>
      </c>
      <c r="G155" s="17">
        <f t="shared" si="27"/>
        <v>600</v>
      </c>
      <c r="H155" s="17"/>
      <c r="I155" s="17">
        <f t="shared" si="28"/>
        <v>600</v>
      </c>
      <c r="J155" s="17"/>
      <c r="K155" s="19" t="str">
        <f>CONCATENATE(Table2[[#This Row],[Specs]],Table2[[#This Row],[Width]],Table2[[#This Row],[Slitting]])</f>
        <v>y ユポ80 MDN 8GB165</v>
      </c>
    </row>
    <row r="156" spans="1:11" hidden="1">
      <c r="A156" s="15" t="s">
        <v>326</v>
      </c>
      <c r="B156" s="16" t="s">
        <v>249</v>
      </c>
      <c r="C156" s="17">
        <v>155</v>
      </c>
      <c r="D156" s="17"/>
      <c r="E156" s="17">
        <v>600</v>
      </c>
      <c r="F156" s="17">
        <v>1</v>
      </c>
      <c r="G156" s="17">
        <f t="shared" si="27"/>
        <v>600</v>
      </c>
      <c r="H156" s="17"/>
      <c r="I156" s="17">
        <f t="shared" si="28"/>
        <v>600</v>
      </c>
      <c r="J156" s="17"/>
      <c r="K156" s="19" t="str">
        <f>CONCATENATE(Table2[[#This Row],[Specs]],Table2[[#This Row],[Width]],Table2[[#This Row],[Slitting]])</f>
        <v>y ユポ80 MDN 8GB155</v>
      </c>
    </row>
    <row r="157" spans="1:11" hidden="1">
      <c r="A157" s="15" t="s">
        <v>327</v>
      </c>
      <c r="B157" s="16" t="s">
        <v>325</v>
      </c>
      <c r="C157" s="17">
        <v>115</v>
      </c>
      <c r="D157" s="17"/>
      <c r="E157" s="17">
        <v>300</v>
      </c>
      <c r="F157" s="17">
        <v>1</v>
      </c>
      <c r="G157" s="17">
        <f t="shared" si="27"/>
        <v>300</v>
      </c>
      <c r="H157" s="17">
        <v>120</v>
      </c>
      <c r="I157" s="17">
        <f t="shared" si="28"/>
        <v>180</v>
      </c>
      <c r="J157" s="17"/>
      <c r="K157" s="19" t="str">
        <f>CONCATENATE(Table2[[#This Row],[Specs]],Table2[[#This Row],[Width]],Table2[[#This Row],[Slitting]])</f>
        <v>PET50Sマット MP1 110HS115</v>
      </c>
    </row>
    <row r="158" spans="1:11">
      <c r="A158" s="15" t="s">
        <v>329</v>
      </c>
      <c r="B158" s="16" t="s">
        <v>249</v>
      </c>
      <c r="C158" s="17">
        <v>165</v>
      </c>
      <c r="D158" s="17"/>
      <c r="E158" s="17">
        <v>600</v>
      </c>
      <c r="F158" s="17">
        <v>1</v>
      </c>
      <c r="G158" s="17">
        <f t="shared" ref="G158:G163" si="29">F158*E158</f>
        <v>600</v>
      </c>
      <c r="H158" s="17">
        <v>400</v>
      </c>
      <c r="I158" s="17">
        <f t="shared" ref="I158:I163" si="30">G158-H158</f>
        <v>200</v>
      </c>
      <c r="J158" s="17"/>
      <c r="K158" s="19" t="str">
        <f>CONCATENATE(Table2[[#This Row],[Specs]],Table2[[#This Row],[Width]],Table2[[#This Row],[Slitting]])</f>
        <v>y ユポ80 MDN 8GB165</v>
      </c>
    </row>
    <row r="159" spans="1:11" hidden="1">
      <c r="A159" s="15" t="s">
        <v>329</v>
      </c>
      <c r="B159" s="16" t="s">
        <v>249</v>
      </c>
      <c r="C159" s="17">
        <v>185</v>
      </c>
      <c r="D159" s="17"/>
      <c r="E159" s="17">
        <v>600</v>
      </c>
      <c r="F159" s="17">
        <v>1</v>
      </c>
      <c r="G159" s="17">
        <f t="shared" si="29"/>
        <v>600</v>
      </c>
      <c r="H159" s="17"/>
      <c r="I159" s="17">
        <f t="shared" si="30"/>
        <v>600</v>
      </c>
      <c r="J159" s="17"/>
      <c r="K159" s="19" t="str">
        <f>CONCATENATE(Table2[[#This Row],[Specs]],Table2[[#This Row],[Width]],Table2[[#This Row],[Slitting]])</f>
        <v>y ユポ80 MDN 8GB185</v>
      </c>
    </row>
    <row r="160" spans="1:11" hidden="1">
      <c r="A160" s="15" t="s">
        <v>330</v>
      </c>
      <c r="B160" s="16" t="s">
        <v>249</v>
      </c>
      <c r="C160" s="17">
        <v>125</v>
      </c>
      <c r="D160" s="17"/>
      <c r="E160" s="17">
        <v>600</v>
      </c>
      <c r="F160" s="17">
        <v>1</v>
      </c>
      <c r="G160" s="17">
        <f t="shared" si="29"/>
        <v>600</v>
      </c>
      <c r="H160" s="17">
        <v>400</v>
      </c>
      <c r="I160" s="17">
        <f t="shared" si="30"/>
        <v>200</v>
      </c>
      <c r="J160" s="17"/>
      <c r="K160" s="19" t="str">
        <f>CONCATENATE(Table2[[#This Row],[Specs]],Table2[[#This Row],[Width]],Table2[[#This Row],[Slitting]])</f>
        <v>y ユポ80 MDN 8GB125</v>
      </c>
    </row>
    <row r="161" spans="1:11">
      <c r="A161" s="15" t="s">
        <v>331</v>
      </c>
      <c r="B161" s="16" t="s">
        <v>249</v>
      </c>
      <c r="C161" s="17">
        <v>165</v>
      </c>
      <c r="D161" s="17"/>
      <c r="E161" s="17">
        <v>600</v>
      </c>
      <c r="F161" s="17">
        <v>1</v>
      </c>
      <c r="G161" s="17">
        <f t="shared" si="29"/>
        <v>600</v>
      </c>
      <c r="H161" s="17"/>
      <c r="I161" s="17">
        <f t="shared" si="30"/>
        <v>600</v>
      </c>
      <c r="J161" s="17"/>
      <c r="K161" s="19" t="str">
        <f>CONCATENATE(Table2[[#This Row],[Specs]],Table2[[#This Row],[Width]],Table2[[#This Row],[Slitting]])</f>
        <v>y ユポ80 MDN 8GB165</v>
      </c>
    </row>
    <row r="162" spans="1:11">
      <c r="A162" s="15" t="s">
        <v>331</v>
      </c>
      <c r="B162" s="16" t="s">
        <v>249</v>
      </c>
      <c r="C162" s="17">
        <v>165</v>
      </c>
      <c r="D162" s="17"/>
      <c r="E162" s="17">
        <v>600</v>
      </c>
      <c r="F162" s="17">
        <v>1</v>
      </c>
      <c r="G162" s="17">
        <f t="shared" si="29"/>
        <v>600</v>
      </c>
      <c r="H162" s="17">
        <v>600</v>
      </c>
      <c r="I162" s="17">
        <f t="shared" si="30"/>
        <v>0</v>
      </c>
      <c r="J162" s="17"/>
      <c r="K162" s="19" t="str">
        <f>CONCATENATE(Table2[[#This Row],[Specs]],Table2[[#This Row],[Width]],Table2[[#This Row],[Slitting]])</f>
        <v>y ユポ80 MDN 8GB165</v>
      </c>
    </row>
    <row r="163" spans="1:11" hidden="1">
      <c r="A163" s="15"/>
      <c r="B163" s="16"/>
      <c r="C163" s="17"/>
      <c r="D163" s="17"/>
      <c r="E163" s="17"/>
      <c r="F163" s="17"/>
      <c r="G163" s="17">
        <f t="shared" si="29"/>
        <v>0</v>
      </c>
      <c r="H163" s="17"/>
      <c r="I163" s="17">
        <f t="shared" si="30"/>
        <v>0</v>
      </c>
      <c r="J163" s="17"/>
      <c r="K163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251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44214.492951388886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281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258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235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244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75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234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238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235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214</v>
      </c>
      <c r="C201" s="26">
        <v>163</v>
      </c>
      <c r="D201" s="26" t="s">
        <v>236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237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239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328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5LX4 青</v>
      </c>
    </row>
    <row r="206" spans="1:8" ht="20">
      <c r="A206" s="25"/>
      <c r="B206" s="26" t="s">
        <v>22</v>
      </c>
      <c r="C206" s="26">
        <v>273</v>
      </c>
      <c r="D206" s="26" t="s">
        <v>240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241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242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243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288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267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275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275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275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214</v>
      </c>
      <c r="C216" s="26">
        <v>102</v>
      </c>
      <c r="D216" s="43" t="s">
        <v>291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214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214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 t="s">
        <v>22</v>
      </c>
      <c r="C219" s="26">
        <v>191</v>
      </c>
      <c r="D219" s="26" t="s">
        <v>319</v>
      </c>
      <c r="E219" s="26">
        <v>10</v>
      </c>
      <c r="F219" s="21">
        <v>44209</v>
      </c>
      <c r="G219" s="26"/>
      <c r="H219" s="27" t="str">
        <f>CONCATENATE(Table1[[#This Row],[Order Code]],Table1[[#This Row],[NAME]])</f>
        <v>191ユカタ　金赤</v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306</v>
      </c>
      <c r="B1" s="47" t="s">
        <v>307</v>
      </c>
      <c r="C1" s="47" t="s">
        <v>309</v>
      </c>
    </row>
    <row r="2" spans="1:3">
      <c r="A2" s="46">
        <v>44189</v>
      </c>
      <c r="B2" t="s">
        <v>308</v>
      </c>
      <c r="C2" t="s">
        <v>310</v>
      </c>
    </row>
    <row r="3" spans="1:3">
      <c r="A3" s="46">
        <v>44190</v>
      </c>
      <c r="B3" t="s">
        <v>308</v>
      </c>
      <c r="C3" t="s">
        <v>311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8"/>
  <sheetViews>
    <sheetView zoomScaleNormal="100" workbookViewId="0">
      <selection activeCell="A9" sqref="A9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57" t="s">
        <v>232</v>
      </c>
      <c r="B1" s="58"/>
    </row>
    <row r="2" spans="1:2" ht="23">
      <c r="A2" s="33">
        <v>44061</v>
      </c>
      <c r="B2" s="37" t="s">
        <v>231</v>
      </c>
    </row>
    <row r="3" spans="1:2" ht="23">
      <c r="A3" s="33">
        <v>44062</v>
      </c>
      <c r="B3" s="36" t="s">
        <v>245</v>
      </c>
    </row>
    <row r="4" spans="1:2" ht="23">
      <c r="A4" s="33">
        <v>44063</v>
      </c>
      <c r="B4" s="36" t="s">
        <v>233</v>
      </c>
    </row>
    <row r="5" spans="1:2" ht="23">
      <c r="A5" s="33">
        <v>44064</v>
      </c>
      <c r="B5" s="36" t="s">
        <v>260</v>
      </c>
    </row>
    <row r="6" spans="1:2" ht="23">
      <c r="B6" s="36" t="s">
        <v>265</v>
      </c>
    </row>
    <row r="7" spans="1:2" ht="46">
      <c r="A7" s="35" t="s">
        <v>305</v>
      </c>
      <c r="B7" s="34" t="s">
        <v>312</v>
      </c>
    </row>
    <row r="8" spans="1:2" ht="46">
      <c r="A8" s="33">
        <v>44209</v>
      </c>
      <c r="B8" s="34" t="s">
        <v>316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2021-02-17T23:58:38Z</dcterms:modified>
</cp:coreProperties>
</file>