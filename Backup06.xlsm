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A32CAA9E-D415-E746-AB25-58055F63E9D3}" xr6:coauthVersionLast="45" xr6:coauthVersionMax="45" xr10:uidLastSave="{00000000-0000-0000-0000-000000000000}"/>
  <bookViews>
    <workbookView xWindow="0" yWindow="460" windowWidth="25600" windowHeight="12960" activeTab="1" xr2:uid="{00000000-000D-0000-FFFF-FFFF00000000}"/>
  </bookViews>
  <sheets>
    <sheet name="PaperSummary" sheetId="24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Paper!$A$5:$J$124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4" i="2" l="1"/>
  <c r="I124" i="2" s="1"/>
  <c r="K124" i="2"/>
  <c r="G123" i="2"/>
  <c r="I123" i="2" s="1"/>
  <c r="K123" i="2"/>
  <c r="G122" i="2"/>
  <c r="I122" i="2" s="1"/>
  <c r="K122" i="2"/>
  <c r="G121" i="2"/>
  <c r="I121" i="2" s="1"/>
  <c r="K121" i="2"/>
  <c r="I3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F3" i="3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<sst xmlns="http://schemas.openxmlformats.org/spreadsheetml/2006/main" count="879" uniqueCount="304">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</sst>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65.464371527778" createdVersion="3" refreshedVersion="6" minRefreshableVersion="3" recordCount="118" xr:uid="{3D6FEA47-E2AE-094A-916F-F4B696A6BD0D}">
  <cacheSource type="worksheet">
    <worksheetSource ref="A5:K123" sheet="Paper"/>
  </cacheSource>
  <cacheFields count="11">
    <cacheField name="Arrival" numFmtId="49">
      <sharedItems count="43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20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20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4"/>
    <x v="16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5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4"/>
    <x v="16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6"/>
    <x v="12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7"/>
    <x v="18"/>
    <x v="0"/>
    <x v="9"/>
  </r>
  <r>
    <x v="33"/>
    <x v="2"/>
    <x v="3"/>
    <x v="1"/>
    <x v="0"/>
    <x v="0"/>
    <x v="0"/>
    <x v="8"/>
    <x v="6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8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9"/>
    <x v="20"/>
    <x v="0"/>
    <x v="32"/>
  </r>
  <r>
    <x v="39"/>
    <x v="0"/>
    <x v="0"/>
    <x v="0"/>
    <x v="0"/>
    <x v="0"/>
    <x v="0"/>
    <x v="3"/>
    <x v="4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2"/>
    <x v="2"/>
    <x v="0"/>
    <x v="8"/>
  </r>
  <r>
    <x v="40"/>
    <x v="10"/>
    <x v="15"/>
    <x v="1"/>
    <x v="0"/>
    <x v="0"/>
    <x v="0"/>
    <x v="1"/>
    <x v="1"/>
    <x v="0"/>
    <x v="25"/>
  </r>
  <r>
    <x v="40"/>
    <x v="10"/>
    <x v="15"/>
    <x v="1"/>
    <x v="0"/>
    <x v="0"/>
    <x v="0"/>
    <x v="1"/>
    <x v="1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1"/>
    <x v="1"/>
    <x v="0"/>
    <x v="8"/>
  </r>
  <r>
    <x v="41"/>
    <x v="0"/>
    <x v="7"/>
    <x v="1"/>
    <x v="0"/>
    <x v="0"/>
    <x v="0"/>
    <x v="1"/>
    <x v="1"/>
    <x v="0"/>
    <x v="8"/>
  </r>
  <r>
    <x v="42"/>
    <x v="0"/>
    <x v="7"/>
    <x v="1"/>
    <x v="0"/>
    <x v="0"/>
    <x v="0"/>
    <x v="2"/>
    <x v="2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2"/>
    <x v="0"/>
    <x v="4"/>
    <x v="1"/>
    <x v="0"/>
    <x v="0"/>
    <x v="0"/>
    <x v="1"/>
    <x v="1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B24DC9-2B64-1C4C-BBC5-AEE7889E4743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3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20">
        <item x="15"/>
        <item x="7"/>
        <item x="19"/>
        <item x="3"/>
        <item x="6"/>
        <item x="16"/>
        <item x="18"/>
        <item x="8"/>
        <item x="12"/>
        <item x="2"/>
        <item x="17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1">
        <item x="0"/>
        <item x="15"/>
        <item x="13"/>
        <item x="8"/>
        <item x="7"/>
        <item x="16"/>
        <item x="11"/>
        <item x="14"/>
        <item x="5"/>
        <item x="10"/>
        <item x="9"/>
        <item x="18"/>
        <item x="2"/>
        <item x="17"/>
        <item x="6"/>
        <item x="19"/>
        <item x="12"/>
        <item x="4"/>
        <item x="20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4" headerRowDxfId="39" dataDxfId="38" totalsRowDxfId="37">
  <autoFilter ref="A5:K12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63E37-23AC-1549-8C26-B987E3933EF5}">
  <dimension ref="B1:X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</row>
    <row r="3" spans="2:24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215</v>
      </c>
      <c r="X3" s="54">
        <v>220</v>
      </c>
    </row>
    <row r="4" spans="2:24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1210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100</v>
      </c>
      <c r="M15" s="6"/>
      <c r="N15" s="6">
        <v>630</v>
      </c>
      <c r="O15" s="6">
        <v>750</v>
      </c>
      <c r="P15" s="6"/>
      <c r="Q15" s="6">
        <v>1650</v>
      </c>
      <c r="R15" s="6"/>
      <c r="S15" s="6">
        <v>1100</v>
      </c>
      <c r="T15" s="6">
        <v>800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4"/>
  <sheetViews>
    <sheetView tabSelected="1" zoomScale="107" zoomScaleNormal="107" workbookViewId="0">
      <pane ySplit="5" topLeftCell="A109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60" t="s">
        <v>235</v>
      </c>
      <c r="J2" s="61"/>
      <c r="M2" s="30"/>
      <c r="N2" s="30"/>
      <c r="O2" s="30"/>
      <c r="P2" s="30"/>
    </row>
    <row r="3" spans="1:19" ht="23" thickBot="1">
      <c r="I3" s="58">
        <f>LastSavedTimeStamp()</f>
        <v>44165.464432870373</v>
      </c>
      <c r="J3" s="59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6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400</v>
      </c>
      <c r="I114" s="17">
        <f t="shared" si="18"/>
        <v>200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6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/>
      <c r="I115" s="17">
        <f t="shared" si="18"/>
        <v>600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/>
      <c r="I116" s="17">
        <f t="shared" si="18"/>
        <v>600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8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/>
      <c r="I118" s="17">
        <f t="shared" si="18"/>
        <v>600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/>
      <c r="I119" s="17">
        <f t="shared" si="18"/>
        <v>600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8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400</v>
      </c>
      <c r="I120" s="17">
        <f t="shared" si="18"/>
        <v>200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>F121*E121</f>
        <v>600</v>
      </c>
      <c r="H121" s="17"/>
      <c r="I121" s="17">
        <f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>F122*E122</f>
        <v>600</v>
      </c>
      <c r="H122" s="17"/>
      <c r="I122" s="17">
        <f>G122-H122</f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8" t="s">
        <v>253</v>
      </c>
      <c r="C123" s="17">
        <v>155</v>
      </c>
      <c r="D123" s="17"/>
      <c r="E123" s="17">
        <v>600</v>
      </c>
      <c r="F123" s="17">
        <v>1</v>
      </c>
      <c r="G123" s="17">
        <f>F123*E123</f>
        <v>600</v>
      </c>
      <c r="H123" s="17"/>
      <c r="I123" s="17">
        <f>G123-H123</f>
        <v>600</v>
      </c>
      <c r="J123" s="18"/>
      <c r="K123" s="20" t="str">
        <f>CONCATENATE(Table2[[#This Row],[Specs]],Table2[[#This Row],[Width]],Table2[[#This Row],[Slitting]])</f>
        <v>y ユポ80 MDN 8GB155</v>
      </c>
    </row>
    <row r="124" spans="1:11">
      <c r="A124" s="15"/>
      <c r="B124" s="16"/>
      <c r="C124" s="17"/>
      <c r="D124" s="17"/>
      <c r="E124" s="17"/>
      <c r="F124" s="17"/>
      <c r="G124" s="17">
        <f>F124*E124</f>
        <v>0</v>
      </c>
      <c r="H124" s="17"/>
      <c r="I124" s="17">
        <f>G124-H124</f>
        <v>0</v>
      </c>
      <c r="J124" s="18"/>
      <c r="K12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44154.547951388886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3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2" t="s">
        <v>233</v>
      </c>
      <c r="B1" s="63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2020-11-30T02:08:52Z</dcterms:modified>
</cp:coreProperties>
</file>