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6D2C391C-9073-FE4C-AECE-5AA8BE1817E3}" xr6:coauthVersionLast="45" xr6:coauthVersionMax="45" xr10:uidLastSave="{00000000-0000-0000-0000-000000000000}"/>
  <bookViews>
    <workbookView xWindow="0" yWindow="500" windowWidth="25600" windowHeight="12700" xr2:uid="{00000000-000D-0000-FFFF-FFFF00000000}"/>
  </bookViews>
  <sheets>
    <sheet name="PaperSummary" sheetId="313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Paper!$A$5:$J$157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52" r:id="rId8"/>
  </pivotCaches>
</workbook>
</file>

<file path=xl/calcChain.xml><?xml version="1.0" encoding="utf-8"?>
<calcChain xmlns="http://schemas.openxmlformats.org/spreadsheetml/2006/main"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B1" i="313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<sst xmlns="http://schemas.openxmlformats.org/spreadsheetml/2006/main" count="965" uniqueCount="330">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</sst>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30.719901504628" createdVersion="3" refreshedVersion="6" minRefreshableVersion="3" recordCount="151" xr:uid="{EFAA6A9E-6E2E-5643-B7DF-A3AEEFEE8B45}">
  <cacheSource type="worksheet">
    <worksheetSource ref="A5:K156" sheet="Paper"/>
  </cacheSource>
  <cacheFields count="11">
    <cacheField name="Arrival" numFmtId="49">
      <sharedItems count="6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</sharedItems>
    </cacheField>
    <cacheField name="Specs" numFmtId="0">
      <sharedItems count="15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  <s v="PET50Sマット MP1 110HS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20">
        <n v="600"/>
        <m/>
        <n v="400"/>
        <n v="550"/>
        <n v="500"/>
        <n v="570"/>
        <n v="180"/>
        <n v="70"/>
        <n v="300"/>
        <n v="480"/>
        <n v="580"/>
        <n v="585"/>
        <n v="380"/>
        <n v="10"/>
        <n v="250"/>
        <n v="80"/>
        <n v="1000"/>
        <n v="100"/>
        <n v="200"/>
        <n v="32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200"/>
        <n v="200"/>
        <n v="5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2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0"/>
    <x v="0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3"/>
    <x v="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2"/>
    <x v="3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6"/>
    <x v="0"/>
    <x v="0"/>
    <x v="34"/>
  </r>
  <r>
    <x v="47"/>
    <x v="0"/>
    <x v="16"/>
    <x v="1"/>
    <x v="0"/>
    <x v="0"/>
    <x v="0"/>
    <x v="8"/>
    <x v="6"/>
    <x v="0"/>
    <x v="26"/>
  </r>
  <r>
    <x v="48"/>
    <x v="0"/>
    <x v="4"/>
    <x v="1"/>
    <x v="0"/>
    <x v="0"/>
    <x v="0"/>
    <x v="17"/>
    <x v="16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2"/>
    <x v="3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8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5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1"/>
    <x v="1"/>
    <x v="0"/>
    <x v="10"/>
  </r>
  <r>
    <x v="55"/>
    <x v="0"/>
    <x v="7"/>
    <x v="1"/>
    <x v="0"/>
    <x v="0"/>
    <x v="0"/>
    <x v="14"/>
    <x v="17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3"/>
    <x v="4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19"/>
    <x v="19"/>
    <x v="0"/>
    <x v="5"/>
  </r>
  <r>
    <x v="58"/>
    <x v="14"/>
    <x v="19"/>
    <x v="1"/>
    <x v="2"/>
    <x v="0"/>
    <x v="3"/>
    <x v="1"/>
    <x v="3"/>
    <x v="0"/>
    <x v="37"/>
  </r>
  <r>
    <x v="58"/>
    <x v="14"/>
    <x v="19"/>
    <x v="1"/>
    <x v="5"/>
    <x v="0"/>
    <x v="6"/>
    <x v="1"/>
    <x v="12"/>
    <x v="0"/>
    <x v="37"/>
  </r>
  <r>
    <x v="59"/>
    <x v="0"/>
    <x v="0"/>
    <x v="0"/>
    <x v="0"/>
    <x v="0"/>
    <x v="0"/>
    <x v="1"/>
    <x v="1"/>
    <x v="0"/>
    <x v="0"/>
  </r>
  <r>
    <x v="59"/>
    <x v="0"/>
    <x v="7"/>
    <x v="1"/>
    <x v="0"/>
    <x v="0"/>
    <x v="0"/>
    <x v="1"/>
    <x v="1"/>
    <x v="0"/>
    <x v="8"/>
  </r>
  <r>
    <x v="59"/>
    <x v="0"/>
    <x v="7"/>
    <x v="1"/>
    <x v="0"/>
    <x v="0"/>
    <x v="0"/>
    <x v="1"/>
    <x v="1"/>
    <x v="0"/>
    <x v="8"/>
  </r>
  <r>
    <x v="59"/>
    <x v="0"/>
    <x v="4"/>
    <x v="1"/>
    <x v="0"/>
    <x v="0"/>
    <x v="0"/>
    <x v="1"/>
    <x v="1"/>
    <x v="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F2234-74C9-8F4B-8E76-91299C2E3D1B}" name="PaperPivotTable" cacheId="52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9" firstHeaderRow="1" firstDataRow="3" firstDataCol="1"/>
  <pivotFields count="11">
    <pivotField showAll="0" defaultSubtotal="0">
      <items count="60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5"/>
        <item x="57"/>
        <item x="55"/>
        <item x="54"/>
        <item x="56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5">
        <item x="5"/>
        <item x="1"/>
        <item x="7"/>
        <item x="10"/>
        <item x="4"/>
        <item x="12"/>
        <item x="6"/>
        <item x="8"/>
        <item x="2"/>
        <item x="3"/>
        <item x="14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0">
        <item x="13"/>
        <item x="7"/>
        <item x="15"/>
        <item x="17"/>
        <item x="6"/>
        <item x="18"/>
        <item x="14"/>
        <item x="8"/>
        <item x="19"/>
        <item x="12"/>
        <item x="2"/>
        <item x="9"/>
        <item x="4"/>
        <item x="3"/>
        <item x="5"/>
        <item x="10"/>
        <item x="11"/>
        <item x="0"/>
        <item x="16"/>
        <item x="1"/>
      </items>
    </pivotField>
    <pivotField dataField="1" showAll="0" defaultSubtotal="0">
      <items count="20">
        <item x="0"/>
        <item x="13"/>
        <item x="8"/>
        <item x="7"/>
        <item x="4"/>
        <item x="11"/>
        <item x="14"/>
        <item x="5"/>
        <item x="10"/>
        <item x="9"/>
        <item x="3"/>
        <item x="19"/>
        <item x="15"/>
        <item x="6"/>
        <item x="17"/>
        <item x="12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8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57" headerRowDxfId="39" dataDxfId="38" totalsRowDxfId="37">
  <autoFilter ref="A5:K157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49400-1AA5-6042-B859-03D5A43382B6}">
  <dimension ref="B1:Z19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3.8984375" bestFit="1" customWidth="1"/>
    <col min="11" max="14" width="5.59765625" bestFit="1" customWidth="1"/>
    <col min="15" max="15" width="7.59765625" bestFit="1" customWidth="1"/>
    <col min="16" max="16" width="4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4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44230.719837962963</v>
      </c>
    </row>
    <row r="2" spans="2:26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2:26">
      <c r="B3" s="52"/>
      <c r="C3" s="51">
        <v>40</v>
      </c>
      <c r="D3" s="51">
        <v>90</v>
      </c>
      <c r="E3" s="51">
        <v>100</v>
      </c>
      <c r="F3" s="51">
        <v>110</v>
      </c>
      <c r="G3" s="51">
        <v>115</v>
      </c>
      <c r="H3" s="51">
        <v>120</v>
      </c>
      <c r="I3" s="53">
        <v>125</v>
      </c>
      <c r="J3" s="54"/>
      <c r="K3" s="51">
        <v>130</v>
      </c>
      <c r="L3" s="51">
        <v>135</v>
      </c>
      <c r="M3" s="51">
        <v>140</v>
      </c>
      <c r="N3" s="51">
        <v>150</v>
      </c>
      <c r="O3" s="53">
        <v>155</v>
      </c>
      <c r="P3" s="54"/>
      <c r="Q3" s="51">
        <v>160</v>
      </c>
      <c r="R3" s="51">
        <v>165</v>
      </c>
      <c r="S3" s="51">
        <v>175</v>
      </c>
      <c r="T3" s="53">
        <v>185</v>
      </c>
      <c r="U3" s="54"/>
      <c r="V3" s="53">
        <v>205</v>
      </c>
      <c r="W3" s="54"/>
      <c r="X3" s="51">
        <v>210</v>
      </c>
      <c r="Y3" s="51">
        <v>215</v>
      </c>
      <c r="Z3" s="51">
        <v>220</v>
      </c>
    </row>
    <row r="4" spans="2:26">
      <c r="B4" s="7" t="s">
        <v>0</v>
      </c>
      <c r="C4" s="51" t="s">
        <v>256</v>
      </c>
      <c r="D4" s="51" t="s">
        <v>256</v>
      </c>
      <c r="E4" s="51" t="s">
        <v>256</v>
      </c>
      <c r="F4" s="51" t="s">
        <v>256</v>
      </c>
      <c r="G4" s="51" t="s">
        <v>256</v>
      </c>
      <c r="H4" s="51" t="s">
        <v>256</v>
      </c>
      <c r="I4" s="51" t="s">
        <v>264</v>
      </c>
      <c r="J4" s="51" t="s">
        <v>256</v>
      </c>
      <c r="K4" s="51" t="s">
        <v>256</v>
      </c>
      <c r="L4" s="51" t="s">
        <v>256</v>
      </c>
      <c r="M4" s="51" t="s">
        <v>256</v>
      </c>
      <c r="N4" s="51" t="s">
        <v>256</v>
      </c>
      <c r="O4" s="51" t="s">
        <v>264</v>
      </c>
      <c r="P4" s="51" t="s">
        <v>256</v>
      </c>
      <c r="Q4" s="51" t="s">
        <v>256</v>
      </c>
      <c r="R4" s="51" t="s">
        <v>256</v>
      </c>
      <c r="S4" s="51" t="s">
        <v>256</v>
      </c>
      <c r="T4" s="51" t="s">
        <v>264</v>
      </c>
      <c r="U4" s="51" t="s">
        <v>256</v>
      </c>
      <c r="V4" s="51" t="s">
        <v>264</v>
      </c>
      <c r="W4" s="51" t="s">
        <v>256</v>
      </c>
      <c r="X4" s="51" t="s">
        <v>256</v>
      </c>
      <c r="Y4" s="51" t="s">
        <v>256</v>
      </c>
      <c r="Z4" s="51" t="s">
        <v>256</v>
      </c>
    </row>
    <row r="5" spans="2:26">
      <c r="B5" s="5" t="s">
        <v>228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257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230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209</v>
      </c>
      <c r="C14" s="6"/>
      <c r="D14" s="6">
        <v>950</v>
      </c>
      <c r="E14" s="6"/>
      <c r="F14" s="6"/>
      <c r="G14" s="6"/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328</v>
      </c>
      <c r="C15" s="6"/>
      <c r="D15" s="6"/>
      <c r="E15" s="6"/>
      <c r="F15" s="6">
        <v>600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289</v>
      </c>
      <c r="C16" s="6"/>
      <c r="D16" s="6"/>
      <c r="E16" s="6">
        <v>1800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2:26">
      <c r="B17" s="5" t="s">
        <v>304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>
        <v>0</v>
      </c>
      <c r="Y17" s="6"/>
      <c r="Z17" s="6"/>
    </row>
    <row r="18" spans="2:26">
      <c r="B18" s="5" t="s">
        <v>252</v>
      </c>
      <c r="C18" s="6"/>
      <c r="D18" s="6">
        <v>1620</v>
      </c>
      <c r="E18" s="6"/>
      <c r="F18" s="6"/>
      <c r="G18" s="6">
        <v>300</v>
      </c>
      <c r="H18" s="6"/>
      <c r="I18" s="6">
        <v>1300</v>
      </c>
      <c r="J18" s="6">
        <v>800</v>
      </c>
      <c r="K18" s="6"/>
      <c r="L18" s="6"/>
      <c r="M18" s="6">
        <v>0</v>
      </c>
      <c r="N18" s="6"/>
      <c r="O18" s="6">
        <v>280</v>
      </c>
      <c r="P18" s="6">
        <v>1100</v>
      </c>
      <c r="Q18" s="6"/>
      <c r="R18" s="6">
        <v>1550</v>
      </c>
      <c r="S18" s="6"/>
      <c r="T18" s="6">
        <v>600</v>
      </c>
      <c r="U18" s="6">
        <v>200</v>
      </c>
      <c r="V18" s="6">
        <v>20</v>
      </c>
      <c r="W18" s="6">
        <v>650</v>
      </c>
      <c r="X18" s="6"/>
      <c r="Y18" s="6">
        <v>600</v>
      </c>
      <c r="Z18" s="6"/>
    </row>
    <row r="19" spans="2:26">
      <c r="B19" s="5" t="s">
        <v>229</v>
      </c>
      <c r="C19" s="6">
        <v>240</v>
      </c>
      <c r="D19" s="6"/>
      <c r="E19" s="6">
        <v>420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57"/>
  <sheetViews>
    <sheetView zoomScale="150" zoomScaleNormal="15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253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>
        <v>600</v>
      </c>
      <c r="I12" s="17">
        <f t="shared" si="1"/>
        <v>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550</v>
      </c>
      <c r="I23" s="17">
        <f t="shared" si="1"/>
        <v>50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223</v>
      </c>
      <c r="B56" s="17" t="s">
        <v>229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>
      <c r="A57" s="15" t="s">
        <v>225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218</v>
      </c>
      <c r="B58" s="18" t="s">
        <v>260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>
      <c r="A59" s="15" t="s">
        <v>226</v>
      </c>
      <c r="B59" s="18" t="s">
        <v>252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>
      <c r="A60" s="15" t="s">
        <v>227</v>
      </c>
      <c r="B60" s="48" t="s">
        <v>252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>
      <c r="A61" s="15" t="s">
        <v>223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>
      <c r="A62" s="15" t="s">
        <v>218</v>
      </c>
      <c r="B62" s="18" t="s">
        <v>252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>
      <c r="A63" s="15" t="s">
        <v>249</v>
      </c>
      <c r="B63" s="18" t="s">
        <v>252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262</v>
      </c>
      <c r="B65" s="18" t="s">
        <v>252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214</v>
      </c>
      <c r="K65" s="19" t="str">
        <f>CONCATENATE(Table2[[#This Row],[Specs]],Table2[[#This Row],[Width]],Table2[[#This Row],[Slitting]])</f>
        <v>y ユポ80 MDN 8GB155</v>
      </c>
    </row>
    <row r="66" spans="1:11">
      <c r="A66" s="15" t="s">
        <v>262</v>
      </c>
      <c r="B66" s="18" t="s">
        <v>252</v>
      </c>
      <c r="C66" s="17">
        <v>185</v>
      </c>
      <c r="D66" s="17" t="s">
        <v>264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214</v>
      </c>
      <c r="K66" s="19" t="str">
        <f>CONCATENATE(Table2[[#This Row],[Specs]],Table2[[#This Row],[Width]],Table2[[#This Row],[Slitting]])</f>
        <v>y ユポ80 MDN 8GB185i 一本刃</v>
      </c>
    </row>
    <row r="67" spans="1:11">
      <c r="A67" s="15" t="s">
        <v>196</v>
      </c>
      <c r="B67" s="18" t="s">
        <v>252</v>
      </c>
      <c r="C67" s="17">
        <v>155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8GB155i 一本刃</v>
      </c>
    </row>
    <row r="68" spans="1:11">
      <c r="A68" s="15" t="s">
        <v>265</v>
      </c>
      <c r="B68" s="18" t="s">
        <v>252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196</v>
      </c>
      <c r="B70" s="18" t="s">
        <v>252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>
      <c r="A71" s="15" t="s">
        <v>267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>
      <c r="A72" s="15" t="s">
        <v>266</v>
      </c>
      <c r="B72" s="18" t="s">
        <v>252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>
      <c r="A73" s="15" t="s">
        <v>266</v>
      </c>
      <c r="B73" s="17" t="s">
        <v>229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>
      <c r="A74" s="15" t="s">
        <v>266</v>
      </c>
      <c r="B74" s="17" t="s">
        <v>229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>
      <c r="A75" s="15" t="s">
        <v>269</v>
      </c>
      <c r="B75" s="18" t="s">
        <v>252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196</v>
      </c>
      <c r="B78" s="17" t="s">
        <v>229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>
      <c r="A79" s="15" t="s">
        <v>271</v>
      </c>
      <c r="B79" s="18" t="s">
        <v>252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>
      <c r="A80" s="15" t="s">
        <v>273</v>
      </c>
      <c r="B80" s="18" t="s">
        <v>274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39" t="s">
        <v>272</v>
      </c>
      <c r="B82" s="41" t="s">
        <v>252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272</v>
      </c>
      <c r="B83" s="41" t="s">
        <v>252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>
      <c r="A84" s="15" t="s">
        <v>275</v>
      </c>
      <c r="B84" s="18" t="s">
        <v>276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>
      <c r="A85" s="15" t="s">
        <v>277</v>
      </c>
      <c r="B85" s="18" t="s">
        <v>252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>
      <c r="A86" s="15" t="s">
        <v>279</v>
      </c>
      <c r="B86" s="18" t="s">
        <v>280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>
      <c r="A87" s="15" t="s">
        <v>279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>
      <c r="A88" s="15" t="s">
        <v>281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>
      <c r="A89" s="15" t="s">
        <v>282</v>
      </c>
      <c r="B89" s="18" t="s">
        <v>231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>
      <c r="A90" s="15" t="s">
        <v>283</v>
      </c>
      <c r="B90" s="18" t="s">
        <v>252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>
      <c r="A91" s="15" t="s">
        <v>283</v>
      </c>
      <c r="B91" s="17" t="s">
        <v>252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>
      <c r="A92" s="15" t="s">
        <v>282</v>
      </c>
      <c r="B92" s="16" t="s">
        <v>231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>
      <c r="A93" s="15" t="s">
        <v>285</v>
      </c>
      <c r="B93" s="18" t="s">
        <v>252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>
      <c r="A94" s="15" t="s">
        <v>285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>
      <c r="A95" s="15" t="s">
        <v>285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285</v>
      </c>
      <c r="B96" s="18" t="s">
        <v>252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>
      <c r="A97" s="15" t="s">
        <v>285</v>
      </c>
      <c r="B97" s="18" t="s">
        <v>252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>
      <c r="A98" s="15" t="s">
        <v>285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>
      <c r="A99" s="15" t="s">
        <v>286</v>
      </c>
      <c r="B99" s="18" t="s">
        <v>252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287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287</v>
      </c>
      <c r="B102" s="16" t="s">
        <v>252</v>
      </c>
      <c r="C102" s="17">
        <v>185</v>
      </c>
      <c r="D102" s="17" t="s">
        <v>264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>
      <c r="A103" s="15" t="s">
        <v>287</v>
      </c>
      <c r="B103" s="18" t="s">
        <v>252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>
      <c r="A104" s="15" t="s">
        <v>288</v>
      </c>
      <c r="B104" s="16" t="s">
        <v>289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>
      <c r="A105" s="15" t="s">
        <v>290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290</v>
      </c>
      <c r="B106" s="16" t="s">
        <v>289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292</v>
      </c>
      <c r="B109" s="16" t="s">
        <v>293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>
      <c r="A110" s="15" t="s">
        <v>292</v>
      </c>
      <c r="B110" s="16" t="s">
        <v>293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>
      <c r="A111" s="15" t="s">
        <v>295</v>
      </c>
      <c r="B111" s="18" t="s">
        <v>252</v>
      </c>
      <c r="C111" s="17">
        <v>185</v>
      </c>
      <c r="D111" s="17" t="s">
        <v>264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>
      <c r="A112" s="15" t="s">
        <v>296</v>
      </c>
      <c r="B112" s="18" t="s">
        <v>252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296</v>
      </c>
      <c r="B114" s="18" t="s">
        <v>260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>
      <c r="A115" s="15" t="s">
        <v>296</v>
      </c>
      <c r="B115" s="16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297</v>
      </c>
      <c r="B116" s="18" t="s">
        <v>252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298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298</v>
      </c>
      <c r="B120" s="17" t="s">
        <v>252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400</v>
      </c>
      <c r="I120" s="17">
        <f t="shared" ref="I120:I126" si="20">G120-H120</f>
        <v>200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>
      <c r="A121" s="15" t="s">
        <v>298</v>
      </c>
      <c r="B121" s="18" t="s">
        <v>252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>
      <c r="A122" s="15" t="s">
        <v>299</v>
      </c>
      <c r="B122" s="18" t="s">
        <v>252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300</v>
      </c>
      <c r="B124" s="16" t="s">
        <v>252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>
      <c r="A125" s="15" t="s">
        <v>301</v>
      </c>
      <c r="B125" s="17" t="s">
        <v>303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>
      <c r="A126" s="15" t="s">
        <v>302</v>
      </c>
      <c r="B126" s="18" t="s">
        <v>252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>
      <c r="A127" s="15" t="s">
        <v>302</v>
      </c>
      <c r="B127" s="16" t="s">
        <v>304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>
      <c r="A128" s="15" t="s">
        <v>305</v>
      </c>
      <c r="B128" s="16" t="s">
        <v>252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>
      <c r="A129" s="15" t="s">
        <v>306</v>
      </c>
      <c r="B129" s="16" t="s">
        <v>252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100</v>
      </c>
      <c r="I129" s="17">
        <f t="shared" si="22"/>
        <v>500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>
      <c r="A130" s="15" t="s">
        <v>307</v>
      </c>
      <c r="B130" s="18" t="s">
        <v>252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>
      <c r="A131" s="15" t="s">
        <v>307</v>
      </c>
      <c r="B131" s="16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316</v>
      </c>
      <c r="B132" s="16" t="s">
        <v>252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>
      <c r="A133" s="15" t="s">
        <v>317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400</v>
      </c>
      <c r="I133" s="17">
        <f t="shared" ref="I133:I139" si="24">G133-H133</f>
        <v>200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318</v>
      </c>
    </row>
    <row r="134" spans="1:13">
      <c r="A134" s="15" t="s">
        <v>317</v>
      </c>
      <c r="B134" s="16" t="s">
        <v>252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>
      <c r="A135" s="15" t="s">
        <v>317</v>
      </c>
      <c r="B135" s="16" t="s">
        <v>252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>
      <c r="A136" s="15" t="s">
        <v>317</v>
      </c>
      <c r="B136" s="16" t="s">
        <v>252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>
      <c r="A137" s="15" t="s">
        <v>317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>
      <c r="A138" s="15" t="s">
        <v>317</v>
      </c>
      <c r="B138" s="16" t="s">
        <v>252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>
      <c r="A139" s="15" t="s">
        <v>320</v>
      </c>
      <c r="B139" s="16" t="s">
        <v>230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>
      <c r="A140" s="15" t="s">
        <v>321</v>
      </c>
      <c r="B140" s="16" t="s">
        <v>252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>
      <c r="A141" s="15" t="s">
        <v>321</v>
      </c>
      <c r="B141" s="16" t="s">
        <v>252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323</v>
      </c>
      <c r="B142" s="16" t="s">
        <v>252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>
      <c r="A143" s="15" t="s">
        <v>324</v>
      </c>
      <c r="B143" s="16" t="s">
        <v>252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>
      <c r="A144" s="15" t="s">
        <v>324</v>
      </c>
      <c r="B144" s="16" t="s">
        <v>252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/>
      <c r="I144" s="17">
        <f t="shared" si="26"/>
        <v>600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>
      <c r="A145" s="15" t="s">
        <v>324</v>
      </c>
      <c r="B145" s="16" t="s">
        <v>252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250</v>
      </c>
      <c r="I145" s="17">
        <f t="shared" si="26"/>
        <v>350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>
      <c r="A146" s="15" t="s">
        <v>325</v>
      </c>
      <c r="B146" s="16" t="s">
        <v>230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>
      <c r="A147" s="15" t="s">
        <v>325</v>
      </c>
      <c r="B147" s="16" t="s">
        <v>252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>
      <c r="A148" s="15" t="s">
        <v>325</v>
      </c>
      <c r="B148" s="16" t="s">
        <v>230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>
      <c r="A149" s="15" t="s">
        <v>325</v>
      </c>
      <c r="B149" s="16" t="s">
        <v>252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>
      <c r="A150" s="15" t="s">
        <v>326</v>
      </c>
      <c r="B150" s="16" t="s">
        <v>252</v>
      </c>
      <c r="C150" s="17">
        <v>155</v>
      </c>
      <c r="D150" s="17" t="s">
        <v>264</v>
      </c>
      <c r="E150" s="17">
        <v>600</v>
      </c>
      <c r="F150" s="17">
        <v>1</v>
      </c>
      <c r="G150" s="17">
        <f t="shared" si="25"/>
        <v>600</v>
      </c>
      <c r="H150" s="17">
        <v>320</v>
      </c>
      <c r="I150" s="17">
        <f t="shared" si="26"/>
        <v>280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>
      <c r="A151" s="15" t="s">
        <v>327</v>
      </c>
      <c r="B151" s="16" t="s">
        <v>328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>
      <c r="A152" s="15" t="s">
        <v>327</v>
      </c>
      <c r="B152" s="16" t="s">
        <v>328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>
      <c r="A153" s="15" t="s">
        <v>329</v>
      </c>
      <c r="B153" s="16" t="s">
        <v>252</v>
      </c>
      <c r="C153" s="17">
        <v>185</v>
      </c>
      <c r="D153" s="17" t="s">
        <v>264</v>
      </c>
      <c r="E153" s="17">
        <v>600</v>
      </c>
      <c r="F153" s="17">
        <v>1</v>
      </c>
      <c r="G153" s="17">
        <f t="shared" si="27"/>
        <v>600</v>
      </c>
      <c r="H153" s="17"/>
      <c r="I153" s="17">
        <f t="shared" si="28"/>
        <v>600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>
      <c r="A154" s="15" t="s">
        <v>329</v>
      </c>
      <c r="B154" s="16" t="s">
        <v>252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>
      <c r="A155" s="15" t="s">
        <v>329</v>
      </c>
      <c r="B155" s="16" t="s">
        <v>252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/>
      <c r="I155" s="17">
        <f t="shared" si="28"/>
        <v>600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>
      <c r="A156" s="15" t="s">
        <v>329</v>
      </c>
      <c r="B156" s="16" t="s">
        <v>252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/>
      <c r="I156" s="17">
        <f t="shared" si="28"/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>
      <c r="A157" s="15"/>
      <c r="B157" s="16"/>
      <c r="C157" s="17"/>
      <c r="D157" s="17"/>
      <c r="E157" s="17"/>
      <c r="F157" s="17"/>
      <c r="G157" s="17">
        <f t="shared" si="27"/>
        <v>0</v>
      </c>
      <c r="H157" s="17"/>
      <c r="I157" s="17">
        <f t="shared" si="28"/>
        <v>0</v>
      </c>
      <c r="J157" s="17"/>
      <c r="K157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1" activePane="bottomLeft" state="frozen"/>
      <selection pane="bottomLeft" activeCell="C220" sqref="C220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322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233</v>
      </c>
      <c r="B1" s="58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2021-02-03T08:16:44Z</dcterms:modified>
</cp:coreProperties>
</file>