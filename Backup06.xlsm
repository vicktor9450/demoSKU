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DDF6ACFB-5A55-DC4A-A799-85DDD2D1C126}" xr6:coauthVersionLast="45" xr6:coauthVersionMax="45" xr10:uidLastSave="{00000000-0000-0000-0000-000000000000}"/>
  <bookViews>
    <workbookView xWindow="0" yWindow="460" windowWidth="25600" windowHeight="12920" activeTab="2" xr2:uid="{00000000-000D-0000-FFFF-FFFF00000000}"/>
  </bookViews>
  <sheets>
    <sheet name="PaperSummary" sheetId="209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Paper!$A$5:$J$95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95" i="2" l="1"/>
  <c r="I95" i="2" s="1"/>
  <c r="K95" i="2"/>
  <c r="G94" i="2"/>
  <c r="K94" i="2"/>
  <c r="G93" i="2"/>
  <c r="I93" i="2"/>
  <c r="K93" i="2"/>
  <c r="G92" i="2"/>
  <c r="I92" i="2" s="1"/>
  <c r="K92" i="2"/>
  <c r="G91" i="2"/>
  <c r="I91" i="2" s="1"/>
  <c r="K91" i="2"/>
  <c r="F3" i="3"/>
  <c r="I3" i="2"/>
  <c r="I94" i="2" l="1"/>
  <c r="G90" i="2"/>
  <c r="I90" i="2" s="1"/>
  <c r="K90" i="2"/>
  <c r="G89" i="2"/>
  <c r="I89" i="2" s="1"/>
  <c r="K89" i="2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<sst xmlns="http://schemas.openxmlformats.org/spreadsheetml/2006/main" count="814" uniqueCount="291">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</sst>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23.563487962965" createdVersion="3" refreshedVersion="6" minRefreshableVersion="3" recordCount="89" xr:uid="{18A35D7D-97F0-4F44-8081-97016A9C65E8}">
  <cacheSource type="worksheet">
    <worksheetSource ref="A5:K94" sheet="Paper"/>
  </cacheSource>
  <cacheFields count="11">
    <cacheField name="Arrival" numFmtId="49">
      <sharedItems count="33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8">
        <n v="600"/>
        <n v="300"/>
        <n v="200"/>
        <n v="100"/>
        <n v="60"/>
        <n v="400"/>
        <n v="80"/>
        <n v="5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9">
        <n v="600"/>
        <n v="1200"/>
        <n v="300"/>
        <n v="200"/>
        <n v="100"/>
        <n v="60"/>
        <n v="400"/>
        <n v="80"/>
        <n v="500"/>
      </sharedItems>
    </cacheField>
    <cacheField name="Used" numFmtId="0">
      <sharedItems containsString="0" containsBlank="1" containsNumber="1" containsInteger="1" minValue="70" maxValue="600" count="16">
        <n v="600"/>
        <n v="550"/>
        <m/>
        <n v="300"/>
        <n v="100"/>
        <n v="400"/>
        <n v="570"/>
        <n v="180"/>
        <n v="70"/>
        <n v="480"/>
        <n v="500"/>
        <n v="580"/>
        <n v="585"/>
        <n v="380"/>
        <n v="590"/>
        <n v="560"/>
      </sharedItems>
    </cacheField>
    <cacheField name="Remaining" numFmtId="0">
      <sharedItems containsSemiMixedTypes="0" containsString="0" containsNumber="1" containsInteger="1" minValue="0" maxValue="1200" count="18">
        <n v="0"/>
        <n v="50"/>
        <n v="600"/>
        <n v="300"/>
        <n v="1200"/>
        <n v="500"/>
        <n v="200"/>
        <n v="30"/>
        <n v="20"/>
        <n v="130"/>
        <n v="100"/>
        <n v="120"/>
        <n v="60"/>
        <n v="400"/>
        <n v="15"/>
        <n v="80"/>
        <n v="1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0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2"/>
    <x v="2"/>
    <x v="0"/>
    <x v="2"/>
  </r>
  <r>
    <x v="3"/>
    <x v="0"/>
    <x v="0"/>
    <x v="0"/>
    <x v="0"/>
    <x v="0"/>
    <x v="0"/>
    <x v="3"/>
    <x v="3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2"/>
    <x v="2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2"/>
    <x v="4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2"/>
    <x v="2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4"/>
    <x v="5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6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3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3"/>
    <x v="0"/>
    <x v="13"/>
  </r>
  <r>
    <x v="16"/>
    <x v="3"/>
    <x v="3"/>
    <x v="1"/>
    <x v="2"/>
    <x v="0"/>
    <x v="3"/>
    <x v="2"/>
    <x v="6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3"/>
    <x v="3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10"/>
    <x v="2"/>
    <x v="15"/>
  </r>
  <r>
    <x v="12"/>
    <x v="0"/>
    <x v="3"/>
    <x v="1"/>
    <x v="0"/>
    <x v="0"/>
    <x v="0"/>
    <x v="9"/>
    <x v="11"/>
    <x v="1"/>
    <x v="4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11"/>
    <x v="1"/>
    <x v="16"/>
  </r>
  <r>
    <x v="12"/>
    <x v="1"/>
    <x v="3"/>
    <x v="1"/>
    <x v="0"/>
    <x v="0"/>
    <x v="0"/>
    <x v="3"/>
    <x v="3"/>
    <x v="1"/>
    <x v="16"/>
  </r>
  <r>
    <x v="12"/>
    <x v="1"/>
    <x v="3"/>
    <x v="1"/>
    <x v="0"/>
    <x v="0"/>
    <x v="0"/>
    <x v="11"/>
    <x v="8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1"/>
    <x v="8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6"/>
    <x v="1"/>
    <x v="21"/>
  </r>
  <r>
    <x v="12"/>
    <x v="7"/>
    <x v="12"/>
    <x v="1"/>
    <x v="3"/>
    <x v="0"/>
    <x v="4"/>
    <x v="2"/>
    <x v="10"/>
    <x v="1"/>
    <x v="22"/>
  </r>
  <r>
    <x v="12"/>
    <x v="7"/>
    <x v="12"/>
    <x v="1"/>
    <x v="0"/>
    <x v="0"/>
    <x v="0"/>
    <x v="12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3"/>
    <x v="8"/>
    <x v="2"/>
    <x v="23"/>
  </r>
  <r>
    <x v="12"/>
    <x v="6"/>
    <x v="12"/>
    <x v="1"/>
    <x v="2"/>
    <x v="0"/>
    <x v="3"/>
    <x v="2"/>
    <x v="6"/>
    <x v="1"/>
    <x v="21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14"/>
    <x v="16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"/>
    <x v="1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10"/>
    <x v="1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5"/>
    <x v="6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2"/>
    <x v="2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15"/>
    <x v="17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2"/>
    <x v="2"/>
    <x v="0"/>
    <x v="12"/>
  </r>
  <r>
    <x v="29"/>
    <x v="0"/>
    <x v="7"/>
    <x v="1"/>
    <x v="0"/>
    <x v="0"/>
    <x v="0"/>
    <x v="3"/>
    <x v="3"/>
    <x v="0"/>
    <x v="8"/>
  </r>
  <r>
    <x v="29"/>
    <x v="0"/>
    <x v="7"/>
    <x v="1"/>
    <x v="0"/>
    <x v="0"/>
    <x v="0"/>
    <x v="2"/>
    <x v="2"/>
    <x v="0"/>
    <x v="8"/>
  </r>
  <r>
    <x v="29"/>
    <x v="2"/>
    <x v="3"/>
    <x v="1"/>
    <x v="1"/>
    <x v="0"/>
    <x v="2"/>
    <x v="2"/>
    <x v="3"/>
    <x v="0"/>
    <x v="14"/>
  </r>
  <r>
    <x v="30"/>
    <x v="2"/>
    <x v="8"/>
    <x v="1"/>
    <x v="1"/>
    <x v="0"/>
    <x v="2"/>
    <x v="2"/>
    <x v="3"/>
    <x v="0"/>
    <x v="28"/>
  </r>
  <r>
    <x v="31"/>
    <x v="8"/>
    <x v="17"/>
    <x v="1"/>
    <x v="0"/>
    <x v="0"/>
    <x v="0"/>
    <x v="2"/>
    <x v="2"/>
    <x v="0"/>
    <x v="29"/>
  </r>
  <r>
    <x v="32"/>
    <x v="0"/>
    <x v="7"/>
    <x v="1"/>
    <x v="0"/>
    <x v="0"/>
    <x v="0"/>
    <x v="2"/>
    <x v="2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2"/>
    <x v="5"/>
    <x v="0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B8310-4734-EC43-A4CF-9CA5D7F2630C}" name="PaperPivotTable" cacheId="14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5" firstHeaderRow="1" firstDataRow="3" firstDataCol="1"/>
  <pivotFields count="11">
    <pivotField showAll="0" defaultSubtotal="0">
      <items count="33">
        <item x="31"/>
        <item x="32"/>
        <item x="30"/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8">
        <item x="4"/>
        <item x="6"/>
        <item x="3"/>
        <item x="2"/>
        <item x="1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9">
        <item x="5"/>
        <item x="7"/>
        <item x="4"/>
        <item x="3"/>
        <item x="2"/>
        <item x="6"/>
        <item x="8"/>
        <item x="0"/>
        <item x="1"/>
      </items>
    </pivotField>
    <pivotField showAll="0" defaultSubtotal="0">
      <items count="16">
        <item x="8"/>
        <item x="4"/>
        <item x="7"/>
        <item x="3"/>
        <item x="13"/>
        <item x="5"/>
        <item x="9"/>
        <item x="10"/>
        <item x="1"/>
        <item x="15"/>
        <item x="6"/>
        <item x="11"/>
        <item x="12"/>
        <item x="14"/>
        <item x="0"/>
        <item x="2"/>
      </items>
    </pivotField>
    <pivotField dataField="1" showAll="0" defaultSubtotal="0">
      <items count="18">
        <item x="0"/>
        <item x="16"/>
        <item x="14"/>
        <item x="8"/>
        <item x="7"/>
        <item x="17"/>
        <item x="1"/>
        <item x="12"/>
        <item x="15"/>
        <item x="10"/>
        <item x="11"/>
        <item x="9"/>
        <item x="6"/>
        <item x="3"/>
        <item x="13"/>
        <item x="5"/>
        <item x="2"/>
        <item x="4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0">
        <item x="17"/>
        <item x="22"/>
        <item x="25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95" headerRowDxfId="39" dataDxfId="38" totalsRowDxfId="37">
  <autoFilter ref="A5:K95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87E92-120C-1342-9209-3F063879104B}">
  <dimension ref="B1:X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1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</row>
    <row r="3" spans="2:24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  <c r="X3" s="53">
        <v>220</v>
      </c>
    </row>
    <row r="4" spans="2:24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  <c r="X4" s="53" t="s">
        <v>258</v>
      </c>
    </row>
    <row r="5" spans="2:24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1100</v>
      </c>
    </row>
    <row r="12" spans="2:24">
      <c r="B12" s="5" t="s">
        <v>12</v>
      </c>
      <c r="C12" s="6"/>
      <c r="D12" s="6">
        <v>500</v>
      </c>
      <c r="E12" s="6"/>
      <c r="F12" s="6"/>
      <c r="G12" s="6"/>
      <c r="H12" s="6"/>
      <c r="I12" s="6"/>
      <c r="J12" s="6">
        <v>1230</v>
      </c>
      <c r="K12" s="6"/>
      <c r="L12" s="6">
        <v>300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254</v>
      </c>
      <c r="C14" s="6"/>
      <c r="D14" s="6">
        <v>1620</v>
      </c>
      <c r="E14" s="6"/>
      <c r="F14" s="6">
        <v>50</v>
      </c>
      <c r="G14" s="6"/>
      <c r="H14" s="6">
        <v>1400</v>
      </c>
      <c r="I14" s="6">
        <v>600</v>
      </c>
      <c r="J14" s="6"/>
      <c r="K14" s="6"/>
      <c r="L14" s="6">
        <v>640</v>
      </c>
      <c r="M14" s="6"/>
      <c r="N14" s="6">
        <v>700</v>
      </c>
      <c r="O14" s="6">
        <v>0</v>
      </c>
      <c r="P14" s="6"/>
      <c r="Q14" s="6">
        <v>1500</v>
      </c>
      <c r="R14" s="6"/>
      <c r="S14" s="6">
        <v>300</v>
      </c>
      <c r="T14" s="6">
        <v>650</v>
      </c>
      <c r="U14" s="6">
        <v>20</v>
      </c>
      <c r="V14" s="6">
        <v>1100</v>
      </c>
      <c r="W14" s="6">
        <v>600</v>
      </c>
      <c r="X14" s="6"/>
    </row>
    <row r="15" spans="2:24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95"/>
  <sheetViews>
    <sheetView zoomScale="107" zoomScaleNormal="107" workbookViewId="0">
      <pane ySplit="5" topLeftCell="A82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44123.563576388886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6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550</v>
      </c>
      <c r="I7" s="17">
        <f t="shared" si="1"/>
        <v>50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6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>
        <v>300</v>
      </c>
      <c r="I9" s="17">
        <f t="shared" si="1"/>
        <v>300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9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9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9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9" t="s">
        <v>254</v>
      </c>
      <c r="C67" s="17">
        <v>185</v>
      </c>
      <c r="D67" s="17" t="s">
        <v>268</v>
      </c>
      <c r="E67" s="17">
        <v>600</v>
      </c>
      <c r="F67" s="17">
        <v>1</v>
      </c>
      <c r="G67" s="17">
        <f t="shared" si="8"/>
        <v>600</v>
      </c>
      <c r="H67" s="17">
        <v>600</v>
      </c>
      <c r="I67" s="17">
        <f t="shared" si="9"/>
        <v>0</v>
      </c>
      <c r="J67" s="18" t="s">
        <v>215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19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284</v>
      </c>
      <c r="B86" s="18" t="s">
        <v>254</v>
      </c>
      <c r="C86" s="17">
        <v>140</v>
      </c>
      <c r="D86" s="17"/>
      <c r="E86" s="17">
        <v>600</v>
      </c>
      <c r="F86" s="17">
        <v>1</v>
      </c>
      <c r="G86" s="17">
        <f>F86*E86</f>
        <v>600</v>
      </c>
      <c r="H86" s="17"/>
      <c r="I86" s="17">
        <f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286</v>
      </c>
      <c r="B87" s="16" t="s">
        <v>287</v>
      </c>
      <c r="C87" s="17">
        <v>165</v>
      </c>
      <c r="D87" s="17"/>
      <c r="E87" s="17">
        <v>600</v>
      </c>
      <c r="F87" s="17">
        <v>1</v>
      </c>
      <c r="G87" s="17">
        <f>F87*E87</f>
        <v>600</v>
      </c>
      <c r="H87" s="17">
        <v>300</v>
      </c>
      <c r="I87" s="17">
        <f>G87-H87</f>
        <v>300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286</v>
      </c>
      <c r="B88" s="18" t="s">
        <v>254</v>
      </c>
      <c r="C88" s="17">
        <v>165</v>
      </c>
      <c r="D88" s="17"/>
      <c r="E88" s="17">
        <v>600</v>
      </c>
      <c r="F88" s="17">
        <v>1</v>
      </c>
      <c r="G88" s="17">
        <f>F88*E88</f>
        <v>600</v>
      </c>
      <c r="H88" s="17"/>
      <c r="I88" s="17">
        <f>G88-H88</f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>
      <c r="A89" s="15" t="s">
        <v>286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>F89*E89</f>
        <v>300</v>
      </c>
      <c r="H89" s="17"/>
      <c r="I89" s="17">
        <f>G89-H89</f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>
      <c r="A90" s="15" t="s">
        <v>288</v>
      </c>
      <c r="B90" s="18" t="s">
        <v>12</v>
      </c>
      <c r="C90" s="17">
        <v>140</v>
      </c>
      <c r="D90" s="17"/>
      <c r="E90" s="17">
        <v>300</v>
      </c>
      <c r="F90" s="17">
        <v>1</v>
      </c>
      <c r="G90" s="17">
        <f>F90*E90</f>
        <v>300</v>
      </c>
      <c r="H90" s="17"/>
      <c r="I90" s="17">
        <f>G90-H90</f>
        <v>300</v>
      </c>
      <c r="J90" s="18"/>
      <c r="K90" s="20" t="str">
        <f>CONCATENATE(Table2[[#This Row],[Specs]],Table2[[#This Row],[Width]],Table2[[#This Row],[Slitting]])</f>
        <v>Nキャスト&lt;73&gt;ME80E140</v>
      </c>
    </row>
    <row r="91" spans="1:11">
      <c r="A91" s="15" t="s">
        <v>289</v>
      </c>
      <c r="B91" s="18" t="s">
        <v>232</v>
      </c>
      <c r="C91" s="17">
        <v>220</v>
      </c>
      <c r="D91" s="17"/>
      <c r="E91" s="17">
        <v>600</v>
      </c>
      <c r="F91" s="17">
        <v>1</v>
      </c>
      <c r="G91" s="17">
        <f>F91*E91</f>
        <v>600</v>
      </c>
      <c r="H91" s="17"/>
      <c r="I91" s="17">
        <f>G91-H91</f>
        <v>600</v>
      </c>
      <c r="J91" s="18"/>
      <c r="K91" s="20" t="str">
        <f>CONCATENATE(Table2[[#This Row],[Specs]],Table2[[#This Row],[Width]],Table2[[#This Row],[Slitting]])</f>
        <v>N 上質&lt;55&gt;ME 80E220</v>
      </c>
    </row>
    <row r="92" spans="1:11">
      <c r="A92" s="15" t="s">
        <v>290</v>
      </c>
      <c r="B92" s="18" t="s">
        <v>254</v>
      </c>
      <c r="C92" s="17">
        <v>165</v>
      </c>
      <c r="D92" s="17"/>
      <c r="E92" s="17">
        <v>600</v>
      </c>
      <c r="F92" s="17">
        <v>1</v>
      </c>
      <c r="G92" s="17">
        <f>F92*E92</f>
        <v>600</v>
      </c>
      <c r="H92" s="17"/>
      <c r="I92" s="17">
        <f>G92-H92</f>
        <v>600</v>
      </c>
      <c r="J92" s="18"/>
      <c r="K92" s="20" t="str">
        <f>CONCATENATE(Table2[[#This Row],[Specs]],Table2[[#This Row],[Width]],Table2[[#This Row],[Slitting]])</f>
        <v>y ユポ80 MDN 8GB165</v>
      </c>
    </row>
    <row r="93" spans="1:11">
      <c r="A93" s="15" t="s">
        <v>290</v>
      </c>
      <c r="B93" s="18" t="s">
        <v>254</v>
      </c>
      <c r="C93" s="17">
        <v>215</v>
      </c>
      <c r="D93" s="17"/>
      <c r="E93" s="17">
        <v>600</v>
      </c>
      <c r="F93" s="17">
        <v>1</v>
      </c>
      <c r="G93" s="17">
        <f>F93*E93</f>
        <v>600</v>
      </c>
      <c r="H93" s="17"/>
      <c r="I93" s="17">
        <f>G93-H93</f>
        <v>600</v>
      </c>
      <c r="J93" s="18"/>
      <c r="K93" s="20" t="str">
        <f>CONCATENATE(Table2[[#This Row],[Specs]],Table2[[#This Row],[Width]],Table2[[#This Row],[Slitting]])</f>
        <v>y ユポ80 MDN 8GB215</v>
      </c>
    </row>
    <row r="94" spans="1:11">
      <c r="A94" s="15" t="s">
        <v>289</v>
      </c>
      <c r="B94" s="18" t="s">
        <v>232</v>
      </c>
      <c r="C94" s="17">
        <v>220</v>
      </c>
      <c r="D94" s="17"/>
      <c r="E94" s="17">
        <v>500</v>
      </c>
      <c r="F94" s="17">
        <v>1</v>
      </c>
      <c r="G94" s="17">
        <f>F94*E94</f>
        <v>500</v>
      </c>
      <c r="H94" s="17"/>
      <c r="I94" s="17">
        <f>G94-H94</f>
        <v>500</v>
      </c>
      <c r="J94" s="18"/>
      <c r="K94" s="20" t="str">
        <f>CONCATENATE(Table2[[#This Row],[Specs]],Table2[[#This Row],[Width]],Table2[[#This Row],[Slitting]])</f>
        <v>N 上質&lt;55&gt;ME 80E220</v>
      </c>
    </row>
    <row r="95" spans="1:11">
      <c r="A95" s="15"/>
      <c r="B95" s="16"/>
      <c r="C95" s="17"/>
      <c r="D95" s="17"/>
      <c r="E95" s="17"/>
      <c r="F95" s="17"/>
      <c r="G95" s="17">
        <f>F95*E95</f>
        <v>0</v>
      </c>
      <c r="H95" s="17"/>
      <c r="I95" s="17">
        <f>G95-H95</f>
        <v>0</v>
      </c>
      <c r="J95" s="18"/>
      <c r="K95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abSelected="1"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44123.563576388886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285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285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285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2020-10-19T04:31:47Z</dcterms:modified>
</cp:coreProperties>
</file>