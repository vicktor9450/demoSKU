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125F6DB6-F1DE-2D40-AA9B-E827349A24EF}" xr6:coauthVersionLast="45" xr6:coauthVersionMax="45" xr10:uidLastSave="{00000000-0000-0000-0000-000000000000}"/>
  <bookViews>
    <workbookView xWindow="0" yWindow="460" windowWidth="25600" windowHeight="13000" activeTab="2" xr2:uid="{00000000-000D-0000-FFFF-FFFF00000000}"/>
  </bookViews>
  <sheets>
    <sheet name="PaperSummary" sheetId="197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6" i="2" l="1"/>
  <c r="I86" i="2" s="1"/>
  <c r="K86" i="2"/>
  <c r="H6" i="2"/>
  <c r="F3" i="3"/>
  <c r="I3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<sst xmlns="http://schemas.openxmlformats.org/spreadsheetml/2006/main" count="790" uniqueCount="285">
  <si>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</si>
  <si>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</si>
  <si>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</si>
  <si>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</si>
  <si>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</si>
  <si>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</si>
  <si>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</si>
  <si>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</si>
  <si>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</si>
  <si>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</si>
  <si>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</si>
  <si>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</si>
  <si>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</si>
  <si>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</si>
  <si>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</si>
  <si>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</si>
  <si>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</si>
  <si>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</si>
  <si>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</si>
  <si>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</si>
  <si>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</si>
  <si>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</si>
  <si>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</si>
  <si>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</si>
  <si>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</si>
  <si>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</si>
  <si>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</si>
  <si>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</si>
  <si>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</si>
  <si>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</si>
  <si>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</si>
  <si>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</si>
  <si>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</si>
  <si>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</si>
  <si>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</si>
  <si>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</si>
  <si>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</si>
  <si>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</si>
  <si>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</si>
  <si>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</si>
  <si>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</si>
  <si>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</si>
  <si>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</si>
  <si>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</si>
  <si>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</si>
  <si>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</si>
  <si>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</si>
  <si>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</si>
  <si>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</si>
  <si>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</si>
  <si>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</si>
  <si>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</si>
  <si>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</si>
  <si>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</si>
  <si>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</si>
  <si>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</si>
  <si>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</si>
  <si>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</si>
  <si>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</si>
  <si>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</si>
  <si>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</si>
  <si>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</si>
  <si>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</si>
  <si>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</si>
  <si>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</si>
  <si>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</si>
  <si>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</si>
  <si>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</si>
  <si>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</si>
  <si>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</si>
  <si>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</si>
  <si>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</si>
  <si>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</si>
  <si>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</si>
  <si>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</si>
  <si>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</si>
  <si>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</si>
  <si>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</si>
  <si>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</si>
  <si>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</si>
  <si>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</si>
  <si>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</si>
  <si>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</si>
  <si>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</si>
  <si>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</si>
  <si>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</si>
  <si>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</si>
  <si>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</si>
  <si>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</si>
  <si>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</si>
  <si>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</si>
  <si>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</si>
  <si>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</si>
  <si>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</si>
  <si>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</si>
  <si>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</si>
  <si>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</si>
  <si>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</si>
  <si>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</si>
  <si>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</si>
  <si>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</si>
  <si>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</si>
  <si>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</si>
  <si>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</si>
  <si>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</si>
  <si>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</si>
  <si>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</si>
  <si>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</si>
  <si>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</si>
  <si>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</si>
  <si>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</si>
  <si>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</si>
  <si>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</si>
  <si>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</si>
  <si>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</si>
  <si>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</si>
  <si>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</si>
  <si>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</si>
  <si>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</si>
  <si>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</si>
  <si>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</si>
  <si>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</si>
  <si>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</si>
  <si>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</si>
  <si>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</si>
  <si>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</si>
  <si>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</si>
  <si>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</si>
  <si>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</si>
  <si>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</si>
  <si>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</si>
  <si>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</si>
  <si>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</si>
  <si>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</si>
  <si>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</si>
  <si>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</si>
  <si>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</si>
  <si>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</si>
  <si>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</si>
  <si>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</si>
  <si>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</si>
  <si>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</si>
  <si>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</si>
  <si>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</si>
  <si>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</si>
  <si>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</si>
  <si>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</si>
  <si>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</si>
  <si>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</si>
  <si>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</si>
  <si>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</si>
  <si>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</si>
  <si>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</si>
  <si>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</si>
  <si>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</si>
  <si>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</si>
  <si>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</si>
  <si>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</si>
  <si>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</si>
  <si>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</si>
  <si>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</si>
  <si>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</si>
  <si>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</si>
  <si>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</si>
  <si>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</si>
  <si>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</si>
  <si>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</si>
  <si>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</si>
  <si>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</si>
  <si>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</si>
  <si>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</si>
  <si>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</si>
  <si>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</si>
  <si>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</si>
  <si>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</si>
  <si>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</si>
  <si>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</si>
  <si>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</si>
  <si>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</si>
  <si>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</si>
  <si>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</si>
  <si>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</si>
  <si>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</si>
  <si>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</si>
  <si>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</si>
  <si>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</si>
  <si>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</si>
  <si>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</si>
  <si>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</si>
  <si>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</si>
  <si>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</si>
  <si>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</si>
  <si>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</si>
  <si>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</si>
  <si>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</si>
  <si>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</si>
  <si>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</si>
  <si>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</si>
  <si>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</si>
  <si>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</si>
  <si>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</si>
  <si>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</si>
  <si>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</si>
  <si>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</si>
  <si>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</si>
  <si>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</si>
  <si>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</si>
  <si>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</si>
  <si>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</si>
  <si>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</si>
  <si>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</si>
  <si>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</si>
  <si>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</si>
  <si>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</si>
  <si>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</si>
  <si>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</si>
  <si>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</si>
  <si>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</si>
  <si>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</si>
  <si>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</si>
  <si>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</si>
  <si>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</si>
  <si>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</si>
  <si>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</si>
  <si>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</si>
  <si>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</si>
  <si>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</si>
  <si>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</si>
  <si>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</si>
  <si>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</si>
  <si>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</si>
  <si>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</si>
  <si>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</si>
  <si>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</si>
  <si>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</si>
  <si>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</si>
  <si>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</si>
  <si>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</si>
  <si>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</si>
  <si>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</si>
  <si>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</si>
  <si>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</si>
  <si>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</si>
  <si>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</si>
  <si>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</si>
  <si>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</si>
  <si>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</si>
  <si>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</si>
  <si>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</si>
  <si>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</si>
  <si>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</si>
  <si>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</si>
  <si>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</si>
  <si>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</si>
  <si>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</si>
  <si>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</si>
  <si>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</si>
  <si>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</si>
  <si>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</si>
  <si>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</si>
  <si>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</si>
  <si>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</si>
  <si>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</si>
  <si>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</si>
  <si>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</si>
  <si>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</si>
  <si>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</si>
  <si>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</si>
  <si>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</si>
  <si>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</si>
  <si>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</si>
  <si>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</si>
  <si>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</si>
  <si>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</si>
  <si>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</si>
  <si>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</si>
  <si>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</si>
  <si>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</si>
  <si>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</si>
  <si>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</si>
  <si>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</si>
  <si>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</si>
  <si>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</si>
  <si>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</si>
  <si>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１６５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</si>
</sst>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/d/yyyy\ h:mm\ AM/PM;@"/>
    <numFmt numFmtId="177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FF0000"/>
      <name val="Calibri"/>
      <family val="2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0" fontId="18" fillId="0" borderId="0" xfId="0" applyFont="1" applyAlignment="1">
      <alignment vertical="center"/>
    </xf>
    <xf numFmtId="49" fontId="21" fillId="0" borderId="15" xfId="0" applyNumberFormat="1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7" fontId="8" fillId="0" borderId="11" xfId="0" applyNumberFormat="1" applyFont="1" applyBorder="1" applyAlignment="1">
      <alignment horizontal="right" vertical="center"/>
    </xf>
    <xf numFmtId="177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</cellXfs>
  <cellStyles count="1">
    <cellStyle name="標準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92.365993287036" createdVersion="3" refreshedVersion="6" minRefreshableVersion="3" recordCount="80" xr:uid="{5FED81AC-5607-EE40-903D-6C90C7259443}">
  <cacheSource type="worksheet">
    <worksheetSource ref="A5:K85" sheet="Paper"/>
  </cacheSource>
  <cacheFields count="11">
    <cacheField name="Arrival" numFmtId="49">
      <sharedItems count="2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470"/>
        <m/>
        <n v="400"/>
        <n v="600"/>
        <n v="570"/>
        <n v="300"/>
        <n v="180"/>
        <n v="70"/>
        <n v="580"/>
        <n v="480"/>
        <n v="500"/>
        <n v="585"/>
        <n v="380"/>
        <n v="590"/>
        <n v="550"/>
      </sharedItems>
    </cacheField>
    <cacheField name="Remaining" numFmtId="0">
      <sharedItems containsSemiMixedTypes="0" containsString="0" containsNumber="1" containsInteger="1" minValue="0" maxValue="1200" count="16">
        <n v="130"/>
        <n v="600"/>
        <n v="1200"/>
        <n v="200"/>
        <n v="0"/>
        <n v="30"/>
        <n v="300"/>
        <n v="20"/>
        <n v="100"/>
        <n v="120"/>
        <n v="60"/>
        <n v="400"/>
        <n v="15"/>
        <n v="80"/>
        <n v="1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5"/>
    <x v="6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5"/>
    <x v="2"/>
    <x v="6"/>
  </r>
  <r>
    <x v="12"/>
    <x v="3"/>
    <x v="3"/>
    <x v="1"/>
    <x v="2"/>
    <x v="0"/>
    <x v="3"/>
    <x v="6"/>
    <x v="7"/>
    <x v="0"/>
    <x v="13"/>
  </r>
  <r>
    <x v="12"/>
    <x v="3"/>
    <x v="3"/>
    <x v="1"/>
    <x v="2"/>
    <x v="0"/>
    <x v="3"/>
    <x v="7"/>
    <x v="0"/>
    <x v="0"/>
    <x v="13"/>
  </r>
  <r>
    <x v="12"/>
    <x v="0"/>
    <x v="3"/>
    <x v="1"/>
    <x v="0"/>
    <x v="0"/>
    <x v="0"/>
    <x v="8"/>
    <x v="7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3"/>
    <x v="4"/>
    <x v="0"/>
    <x v="14"/>
  </r>
  <r>
    <x v="12"/>
    <x v="4"/>
    <x v="3"/>
    <x v="1"/>
    <x v="3"/>
    <x v="0"/>
    <x v="4"/>
    <x v="1"/>
    <x v="8"/>
    <x v="2"/>
    <x v="15"/>
  </r>
  <r>
    <x v="12"/>
    <x v="0"/>
    <x v="3"/>
    <x v="1"/>
    <x v="0"/>
    <x v="0"/>
    <x v="0"/>
    <x v="9"/>
    <x v="9"/>
    <x v="1"/>
    <x v="4"/>
  </r>
  <r>
    <x v="12"/>
    <x v="1"/>
    <x v="3"/>
    <x v="1"/>
    <x v="0"/>
    <x v="0"/>
    <x v="0"/>
    <x v="10"/>
    <x v="8"/>
    <x v="1"/>
    <x v="16"/>
  </r>
  <r>
    <x v="12"/>
    <x v="1"/>
    <x v="3"/>
    <x v="1"/>
    <x v="0"/>
    <x v="0"/>
    <x v="0"/>
    <x v="9"/>
    <x v="9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8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8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4"/>
    <x v="5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8"/>
    <x v="1"/>
    <x v="22"/>
  </r>
  <r>
    <x v="12"/>
    <x v="7"/>
    <x v="12"/>
    <x v="1"/>
    <x v="0"/>
    <x v="0"/>
    <x v="0"/>
    <x v="11"/>
    <x v="12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2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13"/>
    <x v="14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3"/>
    <x v="4"/>
    <x v="0"/>
    <x v="14"/>
  </r>
  <r>
    <x v="12"/>
    <x v="0"/>
    <x v="16"/>
    <x v="1"/>
    <x v="0"/>
    <x v="0"/>
    <x v="0"/>
    <x v="14"/>
    <x v="15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8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8"/>
    <x v="0"/>
    <x v="1"/>
  </r>
  <r>
    <x v="22"/>
    <x v="2"/>
    <x v="3"/>
    <x v="1"/>
    <x v="0"/>
    <x v="0"/>
    <x v="0"/>
    <x v="2"/>
    <x v="3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12"/>
    <x v="9"/>
    <x v="12"/>
    <x v="1"/>
    <x v="5"/>
    <x v="0"/>
    <x v="6"/>
    <x v="12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1"/>
    <x v="1"/>
    <x v="0"/>
    <x v="8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1"/>
    <x v="1"/>
    <x v="0"/>
    <x v="8"/>
  </r>
  <r>
    <x v="26"/>
    <x v="0"/>
    <x v="8"/>
    <x v="1"/>
    <x v="0"/>
    <x v="0"/>
    <x v="0"/>
    <x v="1"/>
    <x v="1"/>
    <x v="0"/>
    <x v="12"/>
  </r>
  <r>
    <x v="27"/>
    <x v="2"/>
    <x v="3"/>
    <x v="1"/>
    <x v="0"/>
    <x v="0"/>
    <x v="0"/>
    <x v="3"/>
    <x v="4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4C78-2100-8145-95CF-B0A4EEDCAAAD}" name="PaperPivotTable" cacheId="0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8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6"/>
        <item x="5"/>
        <item x="12"/>
        <item x="2"/>
        <item x="0"/>
        <item x="9"/>
        <item x="10"/>
        <item x="14"/>
        <item x="4"/>
        <item x="8"/>
        <item x="11"/>
        <item x="13"/>
        <item x="3"/>
        <item x="1"/>
      </items>
    </pivotField>
    <pivotField dataField="1" showAll="0" defaultSubtotal="0">
      <items count="16">
        <item x="4"/>
        <item x="14"/>
        <item x="12"/>
        <item x="7"/>
        <item x="5"/>
        <item x="15"/>
        <item x="10"/>
        <item x="13"/>
        <item x="8"/>
        <item x="9"/>
        <item x="0"/>
        <item x="3"/>
        <item x="6"/>
        <item x="11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6" headerRowDxfId="33" dataDxfId="32" totalsRowDxfId="31">
  <autoFilter ref="A5:K86" xr:uid="{00000000-0009-0000-0100-000002000000}">
    <filterColumn colId="10">
      <customFilters>
        <customFilter val="*１６５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584CF-1F52-AF41-9CF5-65430C6CDA8C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4.3984375" bestFit="1" customWidth="1"/>
    <col min="16" max="18" width="6.09765625" bestFit="1" customWidth="1"/>
    <col min="19" max="19" width="8.09765625" bestFit="1" customWidth="1"/>
    <col min="20" max="20" width="5.3984375" bestFit="1" customWidth="1"/>
    <col min="21" max="21" width="8.09765625" bestFit="1" customWidth="1"/>
    <col min="22" max="22" width="5.3984375" bestFit="1" customWidth="1"/>
    <col min="23" max="23" width="6.09765625" bestFit="1" customWidth="1"/>
    <col min="24" max="24" width="8.09765625" bestFit="1" customWidth="1"/>
    <col min="25" max="25" width="4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5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3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</row>
    <row r="3" spans="2:23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215</v>
      </c>
    </row>
    <row r="4" spans="2:23" ht="23">
      <c r="B4" s="7" t="s">
        <v>0</v>
      </c>
      <c r="C4" s="52" t="s">
        <v>258</v>
      </c>
      <c r="D4" s="52" t="s">
        <v>258</v>
      </c>
      <c r="E4" s="52" t="s">
        <v>258</v>
      </c>
      <c r="F4" s="52" t="s">
        <v>258</v>
      </c>
      <c r="G4" s="52" t="s">
        <v>258</v>
      </c>
      <c r="H4" s="52" t="s">
        <v>268</v>
      </c>
      <c r="I4" s="52" t="s">
        <v>258</v>
      </c>
      <c r="J4" s="52" t="s">
        <v>258</v>
      </c>
      <c r="K4" s="52" t="s">
        <v>258</v>
      </c>
      <c r="L4" s="52" t="s">
        <v>258</v>
      </c>
      <c r="M4" s="52" t="s">
        <v>258</v>
      </c>
      <c r="N4" s="52" t="s">
        <v>268</v>
      </c>
      <c r="O4" s="52" t="s">
        <v>258</v>
      </c>
      <c r="P4" s="52" t="s">
        <v>258</v>
      </c>
      <c r="Q4" s="52" t="s">
        <v>258</v>
      </c>
      <c r="R4" s="52" t="s">
        <v>258</v>
      </c>
      <c r="S4" s="52" t="s">
        <v>268</v>
      </c>
      <c r="T4" s="52" t="s">
        <v>258</v>
      </c>
      <c r="U4" s="52" t="s">
        <v>268</v>
      </c>
      <c r="V4" s="52" t="s">
        <v>258</v>
      </c>
      <c r="W4" s="52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630</v>
      </c>
      <c r="J14" s="6"/>
      <c r="K14" s="6"/>
      <c r="L14" s="6">
        <v>900</v>
      </c>
      <c r="M14" s="6"/>
      <c r="N14" s="6">
        <v>700</v>
      </c>
      <c r="O14" s="6">
        <v>200</v>
      </c>
      <c r="P14" s="6"/>
      <c r="Q14" s="6">
        <v>2600</v>
      </c>
      <c r="R14" s="6"/>
      <c r="S14" s="6">
        <v>730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honeticPr fontId="2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6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284</v>
      </c>
      <c r="B2" s="46" t="s">
        <v>255</v>
      </c>
      <c r="I2" s="58" t="s">
        <v>236</v>
      </c>
      <c r="J2" s="59"/>
      <c r="M2" s="30"/>
      <c r="N2" s="30"/>
      <c r="O2" s="30"/>
      <c r="P2" s="30"/>
    </row>
    <row r="3" spans="1:19" ht="23" thickBot="1">
      <c r="I3" s="56">
        <f>LastSavedTimeStamp()</f>
        <v>44092.669432870367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45+118+120+87+100</f>
        <v>470</v>
      </c>
      <c r="I6" s="17">
        <f t="shared" ref="I6:I65" si="1">G6-H6</f>
        <v>130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 hidden="1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197</v>
      </c>
      <c r="B27" s="47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300</v>
      </c>
      <c r="I27" s="17">
        <f t="shared" si="1"/>
        <v>300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197</v>
      </c>
      <c r="B28" s="18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 hidden="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6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0</v>
      </c>
      <c r="I81" s="17">
        <f>G81-H81</f>
        <v>600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8" t="s">
        <v>279</v>
      </c>
      <c r="B83" s="62" t="s">
        <v>254</v>
      </c>
      <c r="C83" s="49">
        <v>165</v>
      </c>
      <c r="D83" s="49"/>
      <c r="E83" s="49">
        <v>600</v>
      </c>
      <c r="F83" s="49">
        <v>1</v>
      </c>
      <c r="G83" s="17">
        <f t="shared" ref="G83:G85" si="12">F83*E83</f>
        <v>600</v>
      </c>
      <c r="H83" s="49">
        <v>600</v>
      </c>
      <c r="I83" s="17">
        <f t="shared" ref="I83:I85" si="13">G83-H83</f>
        <v>0</v>
      </c>
      <c r="J83" s="50"/>
      <c r="K83" s="20" t="str">
        <f>CONCATENATE(Table2[[#This Row],[Specs]],Table2[[#This Row],[Width]],Table2[[#This Row],[Slitting]])</f>
        <v>y ユポ80 MDN 8GB165</v>
      </c>
    </row>
    <row r="84" spans="1:11" hidden="1">
      <c r="A84" s="48" t="s">
        <v>279</v>
      </c>
      <c r="B84" s="51" t="s">
        <v>254</v>
      </c>
      <c r="C84" s="49">
        <v>140</v>
      </c>
      <c r="D84" s="49"/>
      <c r="E84" s="49">
        <v>600</v>
      </c>
      <c r="F84" s="49">
        <v>1</v>
      </c>
      <c r="G84" s="17">
        <f t="shared" si="12"/>
        <v>600</v>
      </c>
      <c r="H84" s="49"/>
      <c r="I84" s="17">
        <f t="shared" si="13"/>
        <v>600</v>
      </c>
      <c r="J84" s="50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/>
      <c r="B86" s="16"/>
      <c r="C86" s="17"/>
      <c r="D86" s="17"/>
      <c r="E86" s="17"/>
      <c r="F86" s="17"/>
      <c r="G86" s="17">
        <f>F86*E86</f>
        <v>0</v>
      </c>
      <c r="H86" s="17"/>
      <c r="I86" s="17">
        <f>G86-H86</f>
        <v>0</v>
      </c>
      <c r="J86" s="18"/>
      <c r="K8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abSelected="1"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44092.669432870367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234</v>
      </c>
      <c r="B1" s="61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20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2020-09-18T07:04:11Z</dcterms:modified>
</cp:coreProperties>
</file>