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CB12B065-33DF-A540-9587-BDF4942B8E3D}" xr6:coauthVersionLast="45" xr6:coauthVersionMax="45" xr10:uidLastSave="{00000000-0000-0000-0000-000000000000}"/>
  <bookViews>
    <workbookView xWindow="0" yWindow="460" windowWidth="25600" windowHeight="13020" xr2:uid="{00000000-000D-0000-FFFF-FFFF00000000}"/>
  </bookViews>
  <sheets>
    <sheet name="PaperSummary" sheetId="21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Paper!$A$5:$J$106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03" i="2" l="1"/>
  <c r="I3" i="2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<sst xmlns="http://schemas.openxmlformats.org/spreadsheetml/2006/main" count="837" uniqueCount="294">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</sst>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31.704726851851" createdVersion="3" refreshedVersion="6" minRefreshableVersion="3" recordCount="100" xr:uid="{C6762BA7-44D0-D946-94DE-A0F9A846B432}">
  <cacheSource type="worksheet">
    <worksheetSource ref="A5:K105" sheet="Paper"/>
  </cacheSource>
  <cacheFields count="11">
    <cacheField name="Arrival" numFmtId="49">
      <sharedItems count="3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8">
        <n v="600"/>
        <n v="300"/>
        <n v="200"/>
        <n v="100"/>
        <n v="60"/>
        <n v="400"/>
        <n v="80"/>
        <n v="5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9">
        <n v="600"/>
        <n v="1200"/>
        <n v="300"/>
        <n v="200"/>
        <n v="100"/>
        <n v="60"/>
        <n v="400"/>
        <n v="80"/>
        <n v="500"/>
      </sharedItems>
    </cacheField>
    <cacheField name="Used" numFmtId="0">
      <sharedItems containsString="0" containsBlank="1" containsNumber="1" containsInteger="1" minValue="10" maxValue="600" count="16">
        <n v="600"/>
        <n v="550"/>
        <m/>
        <n v="500"/>
        <n v="100"/>
        <n v="570"/>
        <n v="180"/>
        <n v="70"/>
        <n v="300"/>
        <n v="480"/>
        <n v="580"/>
        <n v="585"/>
        <n v="380"/>
        <n v="590"/>
        <n v="400"/>
        <n v="10"/>
      </sharedItems>
    </cacheField>
    <cacheField name="Remaining" numFmtId="0">
      <sharedItems containsSemiMixedTypes="0" containsString="0" containsNumber="1" containsInteger="1" minValue="0" maxValue="1200" count="19">
        <n v="0"/>
        <n v="5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10"/>
        <n v="290"/>
        <n v="2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0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3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7"/>
    <x v="0"/>
    <x v="13"/>
  </r>
  <r>
    <x v="12"/>
    <x v="2"/>
    <x v="5"/>
    <x v="1"/>
    <x v="0"/>
    <x v="0"/>
    <x v="0"/>
    <x v="5"/>
    <x v="8"/>
    <x v="2"/>
    <x v="6"/>
  </r>
  <r>
    <x v="12"/>
    <x v="3"/>
    <x v="3"/>
    <x v="1"/>
    <x v="2"/>
    <x v="0"/>
    <x v="3"/>
    <x v="6"/>
    <x v="9"/>
    <x v="0"/>
    <x v="13"/>
  </r>
  <r>
    <x v="12"/>
    <x v="3"/>
    <x v="3"/>
    <x v="1"/>
    <x v="2"/>
    <x v="0"/>
    <x v="3"/>
    <x v="7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3"/>
    <x v="2"/>
    <x v="15"/>
  </r>
  <r>
    <x v="12"/>
    <x v="0"/>
    <x v="3"/>
    <x v="1"/>
    <x v="0"/>
    <x v="0"/>
    <x v="0"/>
    <x v="9"/>
    <x v="11"/>
    <x v="1"/>
    <x v="4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9"/>
    <x v="11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9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0"/>
    <x v="9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7"/>
    <x v="1"/>
    <x v="21"/>
  </r>
  <r>
    <x v="12"/>
    <x v="7"/>
    <x v="12"/>
    <x v="1"/>
    <x v="3"/>
    <x v="0"/>
    <x v="4"/>
    <x v="2"/>
    <x v="3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9"/>
    <x v="2"/>
    <x v="23"/>
  </r>
  <r>
    <x v="12"/>
    <x v="6"/>
    <x v="12"/>
    <x v="1"/>
    <x v="2"/>
    <x v="0"/>
    <x v="3"/>
    <x v="2"/>
    <x v="7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3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14"/>
    <x v="7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9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14"/>
    <x v="3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2"/>
    <x v="2"/>
    <x v="0"/>
    <x v="14"/>
  </r>
  <r>
    <x v="33"/>
    <x v="0"/>
    <x v="7"/>
    <x v="1"/>
    <x v="0"/>
    <x v="0"/>
    <x v="0"/>
    <x v="3"/>
    <x v="3"/>
    <x v="0"/>
    <x v="8"/>
  </r>
  <r>
    <x v="33"/>
    <x v="0"/>
    <x v="4"/>
    <x v="1"/>
    <x v="0"/>
    <x v="0"/>
    <x v="0"/>
    <x v="12"/>
    <x v="18"/>
    <x v="0"/>
    <x v="9"/>
  </r>
  <r>
    <x v="33"/>
    <x v="2"/>
    <x v="3"/>
    <x v="1"/>
    <x v="0"/>
    <x v="0"/>
    <x v="0"/>
    <x v="2"/>
    <x v="2"/>
    <x v="0"/>
    <x v="14"/>
  </r>
  <r>
    <x v="34"/>
    <x v="0"/>
    <x v="7"/>
    <x v="1"/>
    <x v="0"/>
    <x v="0"/>
    <x v="0"/>
    <x v="2"/>
    <x v="2"/>
    <x v="0"/>
    <x v="8"/>
  </r>
  <r>
    <x v="34"/>
    <x v="0"/>
    <x v="7"/>
    <x v="1"/>
    <x v="0"/>
    <x v="0"/>
    <x v="0"/>
    <x v="2"/>
    <x v="2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2"/>
    <x v="2"/>
    <x v="0"/>
    <x v="0"/>
  </r>
  <r>
    <x v="35"/>
    <x v="0"/>
    <x v="7"/>
    <x v="1"/>
    <x v="0"/>
    <x v="0"/>
    <x v="0"/>
    <x v="2"/>
    <x v="2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9117E-8380-0C49-AE48-3ADDB1DDD2A7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5" firstHeaderRow="1" firstDataRow="3" firstDataCol="1"/>
  <pivotFields count="11">
    <pivotField showAll="0" defaultSubtotal="0">
      <items count="36">
        <item x="31"/>
        <item x="32"/>
        <item x="30"/>
        <item x="33"/>
        <item x="34"/>
        <item x="35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8">
        <item x="4"/>
        <item x="6"/>
        <item x="3"/>
        <item x="2"/>
        <item x="1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9">
        <item x="5"/>
        <item x="7"/>
        <item x="4"/>
        <item x="3"/>
        <item x="2"/>
        <item x="6"/>
        <item x="8"/>
        <item x="0"/>
        <item x="1"/>
      </items>
    </pivotField>
    <pivotField showAll="0" defaultSubtotal="0">
      <items count="16">
        <item x="15"/>
        <item x="7"/>
        <item x="4"/>
        <item x="6"/>
        <item x="8"/>
        <item x="12"/>
        <item x="14"/>
        <item x="9"/>
        <item x="3"/>
        <item x="1"/>
        <item x="5"/>
        <item x="10"/>
        <item x="11"/>
        <item x="13"/>
        <item x="0"/>
        <item x="2"/>
      </items>
    </pivotField>
    <pivotField dataField="1" showAll="0" defaultSubtotal="0">
      <items count="19">
        <item x="0"/>
        <item x="16"/>
        <item x="14"/>
        <item x="9"/>
        <item x="8"/>
        <item x="1"/>
        <item x="12"/>
        <item x="15"/>
        <item x="3"/>
        <item x="11"/>
        <item x="10"/>
        <item x="7"/>
        <item x="18"/>
        <item x="17"/>
        <item x="6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06" headerRowDxfId="39" dataDxfId="38" totalsRowDxfId="37">
  <autoFilter ref="A5:K10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BFA1-33B7-7548-8DFF-0B785C2D8528}">
  <dimension ref="B1:X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253</v>
      </c>
      <c r="C14" s="6"/>
      <c r="D14" s="6">
        <v>1620</v>
      </c>
      <c r="E14" s="6"/>
      <c r="F14" s="6">
        <v>50</v>
      </c>
      <c r="G14" s="6"/>
      <c r="H14" s="6">
        <v>1300</v>
      </c>
      <c r="I14" s="6">
        <v>600</v>
      </c>
      <c r="J14" s="6"/>
      <c r="K14" s="6"/>
      <c r="L14" s="6">
        <v>600</v>
      </c>
      <c r="M14" s="6"/>
      <c r="N14" s="6">
        <v>700</v>
      </c>
      <c r="O14" s="6">
        <v>220</v>
      </c>
      <c r="P14" s="6"/>
      <c r="Q14" s="6">
        <v>3100</v>
      </c>
      <c r="R14" s="6"/>
      <c r="S14" s="6">
        <v>700</v>
      </c>
      <c r="T14" s="6">
        <v>650</v>
      </c>
      <c r="U14" s="6">
        <v>20</v>
      </c>
      <c r="V14" s="6">
        <v>1100</v>
      </c>
      <c r="W14" s="6">
        <v>600</v>
      </c>
      <c r="X14" s="6"/>
    </row>
    <row r="15" spans="2:24">
      <c r="B15" s="5" t="s">
        <v>229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06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44131.704675925925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6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285</v>
      </c>
      <c r="B87" s="19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288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>
        <v>600</v>
      </c>
      <c r="I91" s="17">
        <f t="shared" si="15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400</v>
      </c>
      <c r="I94" s="17">
        <f t="shared" si="15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291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600</v>
      </c>
      <c r="I95" s="17">
        <f t="shared" si="15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291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6">F96*E96</f>
        <v>600</v>
      </c>
      <c r="H96" s="17"/>
      <c r="I96" s="17">
        <f t="shared" ref="I96:I101" si="17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291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6"/>
        <v>600</v>
      </c>
      <c r="H97" s="17"/>
      <c r="I97" s="17">
        <f t="shared" si="17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291</v>
      </c>
      <c r="B98" s="18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6"/>
        <v>600</v>
      </c>
      <c r="H98" s="17">
        <v>500</v>
      </c>
      <c r="I98" s="17">
        <f t="shared" si="17"/>
        <v>100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291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6"/>
        <v>600</v>
      </c>
      <c r="H99" s="17">
        <v>380</v>
      </c>
      <c r="I99" s="17">
        <f t="shared" si="17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291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6"/>
        <v>600</v>
      </c>
      <c r="H100" s="17"/>
      <c r="I100" s="17">
        <f t="shared" si="17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292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6"/>
        <v>600</v>
      </c>
      <c r="H101" s="17"/>
      <c r="I101" s="17">
        <f t="shared" si="17"/>
        <v>600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6" t="s">
        <v>253</v>
      </c>
      <c r="C102" s="17">
        <v>165</v>
      </c>
      <c r="D102" s="17"/>
      <c r="E102" s="17">
        <v>600</v>
      </c>
      <c r="F102" s="17">
        <v>1</v>
      </c>
      <c r="G102" s="17">
        <f>F102*E102</f>
        <v>600</v>
      </c>
      <c r="H102" s="17"/>
      <c r="I102" s="17">
        <f>G102-H102</f>
        <v>600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293</v>
      </c>
      <c r="B103" s="16" t="s">
        <v>253</v>
      </c>
      <c r="C103" s="17">
        <v>165</v>
      </c>
      <c r="D103" s="17"/>
      <c r="E103" s="17">
        <v>600</v>
      </c>
      <c r="F103" s="17">
        <v>1</v>
      </c>
      <c r="G103" s="17">
        <f>F103*E103</f>
        <v>600</v>
      </c>
      <c r="H103" s="17">
        <v>600</v>
      </c>
      <c r="I103" s="17">
        <f>G103-H103</f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>
      <c r="A104" s="15" t="s">
        <v>293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>F104*E104</f>
        <v>600</v>
      </c>
      <c r="H104" s="17"/>
      <c r="I104" s="17">
        <f>G104-H104</f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293</v>
      </c>
      <c r="B105" s="16" t="s">
        <v>253</v>
      </c>
      <c r="C105" s="17">
        <v>165</v>
      </c>
      <c r="D105" s="17"/>
      <c r="E105" s="17">
        <v>600</v>
      </c>
      <c r="F105" s="17">
        <v>1</v>
      </c>
      <c r="G105" s="17">
        <f>F105*E105</f>
        <v>600</v>
      </c>
      <c r="H105" s="17"/>
      <c r="I105" s="17">
        <f>G105-H105</f>
        <v>600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>
      <c r="A106" s="15"/>
      <c r="B106" s="16"/>
      <c r="C106" s="17"/>
      <c r="D106" s="17"/>
      <c r="E106" s="17"/>
      <c r="F106" s="17"/>
      <c r="G106" s="17">
        <f>F106*E106</f>
        <v>0</v>
      </c>
      <c r="H106" s="17"/>
      <c r="I106" s="17">
        <f>G106-H106</f>
        <v>0</v>
      </c>
      <c r="J106" s="18"/>
      <c r="K10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2020-10-27T07:55:00Z</dcterms:modified>
</cp:coreProperties>
</file>