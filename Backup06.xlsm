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DD3BD255-DB34-C448-AEF9-B156A448DDF7}" xr6:coauthVersionLast="45" xr6:coauthVersionMax="45" xr10:uidLastSave="{00000000-0000-0000-0000-000000000000}"/>
  <bookViews>
    <workbookView xWindow="0" yWindow="460" windowWidth="25600" windowHeight="13000" xr2:uid="{00000000-000D-0000-FFFF-FFFF00000000}"/>
  </bookViews>
  <sheets>
    <sheet name="PaperSummary" sheetId="204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Paper!$A$5:$J$87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7" i="2" l="1"/>
  <c r="I87" i="2" s="1"/>
  <c r="K87" i="2"/>
  <c r="F3" i="3"/>
  <c r="I3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<sst xmlns="http://schemas.openxmlformats.org/spreadsheetml/2006/main" count="792" uniqueCount="285">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</sst>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0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10.898310648146" createdVersion="3" refreshedVersion="6" minRefreshableVersion="3" recordCount="81" xr:uid="{4EA7248C-3F66-9F47-BC7F-68A7B1514868}">
  <cacheSource type="worksheet">
    <worksheetSource ref="A5:K86" sheet="Paper"/>
  </cacheSource>
  <cacheFields count="11">
    <cacheField name="Arrival" numFmtId="49">
      <sharedItems count="29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600"/>
        <m/>
        <n v="500"/>
        <n v="100"/>
        <n v="570"/>
        <n v="400"/>
        <n v="180"/>
        <n v="70"/>
        <n v="580"/>
        <n v="300"/>
        <n v="480"/>
        <n v="585"/>
        <n v="380"/>
        <n v="590"/>
        <n v="550"/>
        <n v="560"/>
      </sharedItems>
    </cacheField>
    <cacheField name="Remaining" numFmtId="0">
      <sharedItems containsSemiMixedTypes="0" containsString="0" containsNumber="1" containsInteger="1" minValue="0" maxValue="1200" count="18">
        <n v="0"/>
        <n v="600"/>
        <n v="1200"/>
        <n v="100"/>
        <n v="500"/>
        <n v="30"/>
        <n v="200"/>
        <n v="300"/>
        <n v="20"/>
        <n v="130"/>
        <n v="120"/>
        <n v="60"/>
        <n v="400"/>
        <n v="15"/>
        <n v="80"/>
        <n v="10"/>
        <n v="50"/>
        <n v="4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2"/>
    <x v="3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5"/>
    <x v="6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7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7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4"/>
    <x v="5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7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3"/>
    <x v="2"/>
    <x v="15"/>
  </r>
  <r>
    <x v="12"/>
    <x v="0"/>
    <x v="3"/>
    <x v="1"/>
    <x v="0"/>
    <x v="0"/>
    <x v="0"/>
    <x v="10"/>
    <x v="10"/>
    <x v="1"/>
    <x v="4"/>
  </r>
  <r>
    <x v="12"/>
    <x v="1"/>
    <x v="3"/>
    <x v="1"/>
    <x v="0"/>
    <x v="0"/>
    <x v="0"/>
    <x v="2"/>
    <x v="3"/>
    <x v="1"/>
    <x v="16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9"/>
    <x v="7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4"/>
    <x v="5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3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14"/>
    <x v="16"/>
    <x v="1"/>
    <x v="0"/>
  </r>
  <r>
    <x v="12"/>
    <x v="0"/>
    <x v="4"/>
    <x v="0"/>
    <x v="0"/>
    <x v="0"/>
    <x v="0"/>
    <x v="2"/>
    <x v="3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5"/>
    <x v="6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15"/>
    <x v="17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1"/>
    <x v="1"/>
    <x v="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973886-A6B3-4E49-A292-4280BC35ADB2}" name="PaperPivotTable" cacheId="27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9"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7"/>
        <item x="3"/>
        <item x="6"/>
        <item x="9"/>
        <item x="12"/>
        <item x="5"/>
        <item x="10"/>
        <item x="2"/>
        <item x="14"/>
        <item x="15"/>
        <item x="4"/>
        <item x="8"/>
        <item x="11"/>
        <item x="13"/>
        <item x="0"/>
        <item x="1"/>
      </items>
    </pivotField>
    <pivotField dataField="1" showAll="0" defaultSubtotal="0">
      <items count="18">
        <item x="0"/>
        <item x="15"/>
        <item x="13"/>
        <item x="8"/>
        <item x="5"/>
        <item x="17"/>
        <item x="16"/>
        <item x="11"/>
        <item x="14"/>
        <item x="3"/>
        <item x="10"/>
        <item x="9"/>
        <item x="6"/>
        <item x="7"/>
        <item x="12"/>
        <item x="4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7" headerRowDxfId="39" dataDxfId="38" totalsRowDxfId="37">
  <autoFilter ref="A5:K87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65B34-5788-DF40-ABEE-D9BA2DD27E89}">
  <dimension ref="B1:W15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1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</row>
    <row r="3" spans="2:23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</row>
    <row r="4" spans="2:23">
      <c r="B4" s="7" t="s">
        <v>0</v>
      </c>
      <c r="C4" s="53" t="s">
        <v>258</v>
      </c>
      <c r="D4" s="53" t="s">
        <v>258</v>
      </c>
      <c r="E4" s="53" t="s">
        <v>258</v>
      </c>
      <c r="F4" s="53" t="s">
        <v>258</v>
      </c>
      <c r="G4" s="53" t="s">
        <v>258</v>
      </c>
      <c r="H4" s="53" t="s">
        <v>268</v>
      </c>
      <c r="I4" s="53" t="s">
        <v>258</v>
      </c>
      <c r="J4" s="53" t="s">
        <v>258</v>
      </c>
      <c r="K4" s="53" t="s">
        <v>258</v>
      </c>
      <c r="L4" s="53" t="s">
        <v>258</v>
      </c>
      <c r="M4" s="53" t="s">
        <v>258</v>
      </c>
      <c r="N4" s="53" t="s">
        <v>268</v>
      </c>
      <c r="O4" s="53" t="s">
        <v>258</v>
      </c>
      <c r="P4" s="53" t="s">
        <v>258</v>
      </c>
      <c r="Q4" s="53" t="s">
        <v>258</v>
      </c>
      <c r="R4" s="53" t="s">
        <v>258</v>
      </c>
      <c r="S4" s="53" t="s">
        <v>268</v>
      </c>
      <c r="T4" s="53" t="s">
        <v>258</v>
      </c>
      <c r="U4" s="53" t="s">
        <v>268</v>
      </c>
      <c r="V4" s="53" t="s">
        <v>258</v>
      </c>
      <c r="W4" s="53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200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1400</v>
      </c>
      <c r="I14" s="6">
        <v>630</v>
      </c>
      <c r="J14" s="6"/>
      <c r="K14" s="6"/>
      <c r="L14" s="6">
        <v>640</v>
      </c>
      <c r="M14" s="6"/>
      <c r="N14" s="6">
        <v>700</v>
      </c>
      <c r="O14" s="6">
        <v>0</v>
      </c>
      <c r="P14" s="6"/>
      <c r="Q14" s="6">
        <v>100</v>
      </c>
      <c r="R14" s="6"/>
      <c r="S14" s="6">
        <v>650</v>
      </c>
      <c r="T14" s="6">
        <v>1200</v>
      </c>
      <c r="U14" s="6">
        <v>20</v>
      </c>
      <c r="V14" s="6">
        <v>1100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7"/>
  <sheetViews>
    <sheetView zoomScale="107" zoomScaleNormal="107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9" t="s">
        <v>236</v>
      </c>
      <c r="J2" s="60"/>
      <c r="M2" s="30"/>
      <c r="N2" s="30"/>
      <c r="O2" s="30"/>
      <c r="P2" s="30"/>
    </row>
    <row r="3" spans="1:19" ht="23" thickBot="1">
      <c r="I3" s="57">
        <f>LastSavedTimeStamp()</f>
        <v>44110.898090277777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6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500</v>
      </c>
      <c r="I16" s="17">
        <f t="shared" si="1"/>
        <v>100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570</v>
      </c>
      <c r="I25" s="17">
        <f t="shared" si="1"/>
        <v>30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51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6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>
        <v>400</v>
      </c>
      <c r="I28" s="17">
        <f t="shared" si="1"/>
        <v>200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9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6" t="s">
        <v>254</v>
      </c>
      <c r="C67" s="17">
        <v>185</v>
      </c>
      <c r="D67" s="17" t="s">
        <v>268</v>
      </c>
      <c r="E67" s="17">
        <v>600</v>
      </c>
      <c r="F67" s="17">
        <v>1</v>
      </c>
      <c r="G67" s="17">
        <f t="shared" si="8"/>
        <v>600</v>
      </c>
      <c r="H67" s="17">
        <v>550</v>
      </c>
      <c r="I67" s="17">
        <f t="shared" si="9"/>
        <v>50</v>
      </c>
      <c r="J67" s="18" t="s">
        <v>215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16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600</v>
      </c>
      <c r="I71" s="17">
        <f t="shared" si="9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9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9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279</v>
      </c>
      <c r="B83" s="50" t="s">
        <v>254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279</v>
      </c>
      <c r="B84" s="52" t="s">
        <v>254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560</v>
      </c>
      <c r="I84" s="17">
        <f t="shared" si="13"/>
        <v>40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284</v>
      </c>
      <c r="B86" s="18" t="s">
        <v>254</v>
      </c>
      <c r="C86" s="17">
        <v>140</v>
      </c>
      <c r="D86" s="17"/>
      <c r="E86" s="17">
        <v>600</v>
      </c>
      <c r="F86" s="17">
        <v>1</v>
      </c>
      <c r="G86" s="17">
        <f>F86*E86</f>
        <v>600</v>
      </c>
      <c r="H86" s="17"/>
      <c r="I86" s="17">
        <f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/>
      <c r="B87" s="16"/>
      <c r="C87" s="17"/>
      <c r="D87" s="17"/>
      <c r="E87" s="17"/>
      <c r="F87" s="17"/>
      <c r="G87" s="17">
        <f>F87*E87</f>
        <v>0</v>
      </c>
      <c r="H87" s="17"/>
      <c r="I87" s="17">
        <f>G87-H87</f>
        <v>0</v>
      </c>
      <c r="J87" s="18"/>
      <c r="K87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44110.898090277777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1" t="s">
        <v>234</v>
      </c>
      <c r="B1" s="62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2020-10-06T12:33:36Z</dcterms:modified>
</cp:coreProperties>
</file>