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0E6FB9E7-9AB6-E149-925F-A08EFC903A3B}" xr6:coauthVersionLast="45" xr6:coauthVersionMax="45" xr10:uidLastSave="{00000000-0000-0000-0000-000000000000}"/>
  <bookViews>
    <workbookView xWindow="0" yWindow="0" windowWidth="51200" windowHeight="28800" activeTab="2" xr2:uid="{00000000-000D-0000-FFFF-FFFF00000000}"/>
  </bookViews>
  <sheets>
    <sheet name="PaperSummary" sheetId="15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Paper!$A$5:$J$68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61" i="2" l="1"/>
  <c r="F3" i="3"/>
  <c r="I3" i="2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<sst xmlns="http://schemas.openxmlformats.org/spreadsheetml/2006/main" count="752" uniqueCount="278">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</sst>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4" fontId="14" fillId="0" borderId="0" xfId="0" applyNumberFormat="1" applyFont="1" applyBorder="1" applyAlignment="1">
      <alignment horizontal="righ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8" fillId="0" borderId="11" xfId="0" applyNumberFormat="1" applyFont="1" applyBorder="1" applyAlignment="1">
      <alignment horizontal="right" vertical="center"/>
    </xf>
    <xf numFmtId="14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5.403550462965" createdVersion="3" refreshedVersion="6" minRefreshableVersion="3" recordCount="62" xr:uid="{12B24F1D-496F-F646-A9D2-6B65EC94E451}">
  <cacheSource type="worksheet">
    <worksheetSource ref="A5:K67" sheet="Paper"/>
  </cacheSource>
  <cacheFields count="11">
    <cacheField name="Arrival" numFmtId="49">
      <sharedItems count="2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一本刃"/>
        <s v="y ユポ80 MDN 8GB185"/>
        <s v="y ユポ80 MDN 8GB205"/>
        <s v="j 上質150"/>
        <s v="y ユポ80 MDN 8GB90"/>
        <s v="y ユポ80 MDN 8GB155一本刃"/>
        <s v="Nキャスト&lt;73&gt;ME80E130"/>
        <s v="y ユポ80 MDN 8GB125一本刃"/>
        <s v="y ユポ80 MDN 8GB165"/>
        <s v="y ユポ80 MDN 8GB155"/>
        <s v="y ユポ80 MDN 8GB125"/>
        <s v="j 上質125一本刃"/>
        <s v="y ユポ80 MDN 8GB140"/>
        <s v="PET50Sマット90"/>
        <s v="Nキャスト&lt;73&gt;ME80E90"/>
        <s v="j 上質55 ME 80E90"/>
        <s v="j 上質90"/>
        <s v="IJPマットコート135"/>
        <s v="y ユポ80 MDN 8GB205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FDD53-0EC9-8445-A3A8-D2B49CA7B70B}" name="PaperPivotTable" cacheId="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1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0"/>
        <item x="6"/>
        <item x="14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7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68" headerRowDxfId="33" dataDxfId="32" totalsRowDxfId="31">
  <autoFilter ref="A5:K6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6" xr3:uid="{00000000-0010-0000-0100-000006000000}" name="IMPORT DATE" dataDxfId="3"/>
    <tableColumn id="7" xr3:uid="{00000000-0010-0000-0100-000007000000}" name="REMAINING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B06B-C8F3-B049-9F94-3E7F3D2F2F9B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5.69921875" bestFit="1" customWidth="1"/>
    <col min="9" max="9" width="3.8984375" bestFit="1" customWidth="1"/>
    <col min="10" max="13" width="5.59765625" bestFit="1" customWidth="1"/>
    <col min="14" max="14" width="5.69921875" bestFit="1" customWidth="1"/>
    <col min="15" max="15" width="3.8984375" bestFit="1" customWidth="1"/>
    <col min="16" max="18" width="5.59765625" bestFit="1" customWidth="1"/>
    <col min="19" max="19" width="5.69921875" bestFit="1" customWidth="1"/>
    <col min="20" max="20" width="4.8984375" bestFit="1" customWidth="1"/>
    <col min="21" max="21" width="5.69921875" bestFit="1" customWidth="1"/>
    <col min="22" max="22" width="4.8984375" bestFit="1" customWidth="1"/>
    <col min="23" max="23" width="5.59765625" bestFit="1" customWidth="1"/>
    <col min="24" max="24" width="5.6992187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69921875" bestFit="1" customWidth="1"/>
    <col min="34" max="34" width="4.8984375" bestFit="1" customWidth="1"/>
    <col min="35" max="35" width="9.8984375" bestFit="1" customWidth="1"/>
    <col min="36" max="36" width="5.6992187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203</v>
      </c>
      <c r="C2" s="10" t="s">
        <v>199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</row>
    <row r="3" spans="2:23">
      <c r="B3" s="39"/>
      <c r="C3" s="38">
        <v>40</v>
      </c>
      <c r="D3" s="38">
        <v>90</v>
      </c>
      <c r="E3" s="38">
        <v>100</v>
      </c>
      <c r="F3" s="38">
        <v>115</v>
      </c>
      <c r="G3" s="38">
        <v>120</v>
      </c>
      <c r="H3" s="40">
        <v>125</v>
      </c>
      <c r="I3" s="41"/>
      <c r="J3" s="38">
        <v>130</v>
      </c>
      <c r="K3" s="38">
        <v>135</v>
      </c>
      <c r="L3" s="38">
        <v>140</v>
      </c>
      <c r="M3" s="38">
        <v>150</v>
      </c>
      <c r="N3" s="40">
        <v>155</v>
      </c>
      <c r="O3" s="41"/>
      <c r="P3" s="38">
        <v>160</v>
      </c>
      <c r="Q3" s="38">
        <v>165</v>
      </c>
      <c r="R3" s="38">
        <v>175</v>
      </c>
      <c r="S3" s="40">
        <v>185</v>
      </c>
      <c r="T3" s="41"/>
      <c r="U3" s="40">
        <v>205</v>
      </c>
      <c r="V3" s="41"/>
      <c r="W3" s="38">
        <v>215</v>
      </c>
    </row>
    <row r="4" spans="2:23" ht="23">
      <c r="B4" s="10" t="s">
        <v>0</v>
      </c>
      <c r="C4" s="38" t="s">
        <v>267</v>
      </c>
      <c r="D4" s="38" t="s">
        <v>267</v>
      </c>
      <c r="E4" s="38" t="s">
        <v>267</v>
      </c>
      <c r="F4" s="38" t="s">
        <v>267</v>
      </c>
      <c r="G4" s="38" t="s">
        <v>267</v>
      </c>
      <c r="H4" s="38" t="s">
        <v>4</v>
      </c>
      <c r="I4" s="38" t="s">
        <v>267</v>
      </c>
      <c r="J4" s="38" t="s">
        <v>267</v>
      </c>
      <c r="K4" s="38" t="s">
        <v>267</v>
      </c>
      <c r="L4" s="38" t="s">
        <v>267</v>
      </c>
      <c r="M4" s="38" t="s">
        <v>267</v>
      </c>
      <c r="N4" s="38" t="s">
        <v>4</v>
      </c>
      <c r="O4" s="38" t="s">
        <v>267</v>
      </c>
      <c r="P4" s="38" t="s">
        <v>267</v>
      </c>
      <c r="Q4" s="38" t="s">
        <v>267</v>
      </c>
      <c r="R4" s="38" t="s">
        <v>267</v>
      </c>
      <c r="S4" s="38" t="s">
        <v>4</v>
      </c>
      <c r="T4" s="38" t="s">
        <v>267</v>
      </c>
      <c r="U4" s="38" t="s">
        <v>4</v>
      </c>
      <c r="V4" s="38" t="s">
        <v>267</v>
      </c>
      <c r="W4" s="38" t="s">
        <v>267</v>
      </c>
    </row>
    <row r="5" spans="2:23">
      <c r="B5" s="5" t="s">
        <v>232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270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271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234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13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211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263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600</v>
      </c>
      <c r="O14" s="6">
        <v>980</v>
      </c>
      <c r="P14" s="6"/>
      <c r="Q14" s="6">
        <v>1810</v>
      </c>
      <c r="R14" s="6"/>
      <c r="S14" s="6">
        <v>1037</v>
      </c>
      <c r="T14" s="6">
        <v>1220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233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68"/>
  <sheetViews>
    <sheetView zoomScaleNormal="10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264</v>
      </c>
      <c r="I2" s="44" t="s">
        <v>240</v>
      </c>
      <c r="J2" s="45"/>
      <c r="M2" s="33"/>
      <c r="N2" s="33"/>
      <c r="O2" s="33"/>
      <c r="P2" s="33"/>
    </row>
    <row r="3" spans="1:19" ht="23" thickBot="1">
      <c r="I3" s="42">
        <f>LastSavedTimeStamp()</f>
        <v>44065.402905092589</v>
      </c>
      <c r="J3" s="43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261</v>
      </c>
      <c r="B5" s="14" t="s">
        <v>0</v>
      </c>
      <c r="C5" s="16" t="s">
        <v>199</v>
      </c>
      <c r="D5" s="16" t="s">
        <v>266</v>
      </c>
      <c r="E5" s="16" t="s">
        <v>200</v>
      </c>
      <c r="F5" s="16" t="s">
        <v>201</v>
      </c>
      <c r="G5" s="16" t="s">
        <v>202</v>
      </c>
      <c r="H5" s="14" t="s">
        <v>1</v>
      </c>
      <c r="I5" s="16" t="s">
        <v>2</v>
      </c>
      <c r="J5" s="17" t="s">
        <v>262</v>
      </c>
      <c r="K5" s="17" t="s">
        <v>204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263</v>
      </c>
      <c r="C6" s="20">
        <v>185</v>
      </c>
      <c r="D6" s="21" t="s">
        <v>4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8GB185一本刃</v>
      </c>
      <c r="M6" s="33"/>
      <c r="N6" s="33"/>
      <c r="O6" s="33"/>
      <c r="P6" s="33"/>
    </row>
    <row r="7" spans="1:19" ht="22">
      <c r="A7" s="18" t="s">
        <v>5</v>
      </c>
      <c r="B7" s="21" t="s">
        <v>263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6</v>
      </c>
      <c r="B8" s="21" t="s">
        <v>263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7</v>
      </c>
      <c r="B9" s="21" t="s">
        <v>263</v>
      </c>
      <c r="C9" s="20">
        <v>185</v>
      </c>
      <c r="D9" s="21" t="s">
        <v>4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8GB185一本刃</v>
      </c>
      <c r="M9" s="33"/>
      <c r="N9" s="33"/>
      <c r="O9" s="33"/>
      <c r="P9" s="33"/>
    </row>
    <row r="10" spans="1:19" ht="22">
      <c r="A10" s="18" t="s">
        <v>8</v>
      </c>
      <c r="B10" s="21" t="s">
        <v>268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9</v>
      </c>
      <c r="B11" s="21" t="s">
        <v>263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10</v>
      </c>
      <c r="B12" s="21" t="s">
        <v>263</v>
      </c>
      <c r="C12" s="20">
        <v>155</v>
      </c>
      <c r="D12" s="21" t="s">
        <v>4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8GB155一本刃</v>
      </c>
    </row>
    <row r="13" spans="1:19">
      <c r="A13" s="18" t="s">
        <v>11</v>
      </c>
      <c r="B13" s="21" t="s">
        <v>263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12</v>
      </c>
      <c r="B14" s="21" t="s">
        <v>13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14</v>
      </c>
      <c r="B15" s="21" t="s">
        <v>263</v>
      </c>
      <c r="C15" s="20">
        <v>125</v>
      </c>
      <c r="D15" s="21" t="s">
        <v>4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216</v>
      </c>
      <c r="K15" s="12" t="str">
        <f>CONCATENATE(Table2[[#This Row],[Specs]],Table2[[#This Row],[Width]],Table2[[#This Row],[Slitting]])</f>
        <v>y ユポ80 MDN 8GB125一本刃</v>
      </c>
    </row>
    <row r="16" spans="1:19">
      <c r="A16" s="18" t="s">
        <v>15</v>
      </c>
      <c r="B16" s="21" t="s">
        <v>263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15</v>
      </c>
      <c r="B17" s="21" t="s">
        <v>263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6</v>
      </c>
      <c r="B18" s="22" t="s">
        <v>263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9</v>
      </c>
      <c r="B19" s="21" t="s">
        <v>263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8</v>
      </c>
      <c r="B20" s="21" t="s">
        <v>268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16</v>
      </c>
      <c r="B21" s="22" t="s">
        <v>263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16</v>
      </c>
      <c r="B22" s="19" t="s">
        <v>263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216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16</v>
      </c>
      <c r="B23" s="21" t="s">
        <v>263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16</v>
      </c>
      <c r="B24" s="19" t="s">
        <v>263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16</v>
      </c>
      <c r="B25" s="19" t="s">
        <v>263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216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198</v>
      </c>
      <c r="B26" s="21" t="s">
        <v>268</v>
      </c>
      <c r="C26" s="20">
        <v>125</v>
      </c>
      <c r="D26" s="20" t="s">
        <v>4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216</v>
      </c>
      <c r="K26" s="12" t="str">
        <f>CONCATENATE(Table2[[#This Row],[Specs]],Table2[[#This Row],[Width]],Table2[[#This Row],[Slitting]])</f>
        <v>j 上質125一本刃</v>
      </c>
    </row>
    <row r="27" spans="1:11">
      <c r="A27" s="18" t="s">
        <v>198</v>
      </c>
      <c r="B27" s="20" t="s">
        <v>263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198</v>
      </c>
      <c r="B28" s="21" t="s">
        <v>263</v>
      </c>
      <c r="C28" s="20">
        <v>125</v>
      </c>
      <c r="D28" s="20" t="s">
        <v>4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216</v>
      </c>
      <c r="K28" s="12" t="str">
        <f>CONCATENATE(Table2[[#This Row],[Specs]],Table2[[#This Row],[Width]],Table2[[#This Row],[Slitting]])</f>
        <v>y ユポ80 MDN 8GB125一本刃</v>
      </c>
    </row>
    <row r="29" spans="1:11">
      <c r="A29" s="18" t="s">
        <v>198</v>
      </c>
      <c r="B29" s="21" t="s">
        <v>263</v>
      </c>
      <c r="C29" s="20">
        <v>125</v>
      </c>
      <c r="D29" s="20" t="s">
        <v>4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216</v>
      </c>
      <c r="K29" s="12" t="str">
        <f>CONCATENATE(Table2[[#This Row],[Specs]],Table2[[#This Row],[Width]],Table2[[#This Row],[Slitting]])</f>
        <v>y ユポ80 MDN 8GB125一本刃</v>
      </c>
    </row>
    <row r="30" spans="1:11">
      <c r="A30" s="18" t="s">
        <v>210</v>
      </c>
      <c r="B30" s="21" t="s">
        <v>211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212</v>
      </c>
      <c r="B31" s="19" t="s">
        <v>263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213</v>
      </c>
      <c r="B32" s="21" t="s">
        <v>211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214</v>
      </c>
      <c r="B33" s="21" t="s">
        <v>211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198</v>
      </c>
      <c r="B34" s="19" t="s">
        <v>13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215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198</v>
      </c>
      <c r="B35" s="19" t="s">
        <v>211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198</v>
      </c>
      <c r="B36" s="19" t="s">
        <v>211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198</v>
      </c>
      <c r="B37" s="19" t="s">
        <v>263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198</v>
      </c>
      <c r="B38" s="19" t="s">
        <v>13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216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198</v>
      </c>
      <c r="B39" s="19" t="s">
        <v>263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216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198</v>
      </c>
      <c r="B40" s="19" t="s">
        <v>13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216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198</v>
      </c>
      <c r="B41" s="21" t="s">
        <v>269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215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198</v>
      </c>
      <c r="B42" s="19" t="s">
        <v>263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216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198</v>
      </c>
      <c r="B43" s="19" t="s">
        <v>268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216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198</v>
      </c>
      <c r="B44" s="19" t="s">
        <v>268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216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198</v>
      </c>
      <c r="B45" s="19" t="s">
        <v>268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216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198</v>
      </c>
      <c r="B46" s="19" t="s">
        <v>268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216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218</v>
      </c>
      <c r="B47" s="21" t="s">
        <v>272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219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220</v>
      </c>
      <c r="B48" s="19" t="s">
        <v>263</v>
      </c>
      <c r="C48" s="20">
        <v>205</v>
      </c>
      <c r="D48" s="20" t="s">
        <v>4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221</v>
      </c>
      <c r="K48" s="23" t="str">
        <f>CONCATENATE(Table2[[#This Row],[Specs]],Table2[[#This Row],[Width]],Table2[[#This Row],[Slitting]])</f>
        <v>y ユポ80 MDN 8GB205一本刃</v>
      </c>
    </row>
    <row r="49" spans="1:11">
      <c r="A49" s="18" t="s">
        <v>220</v>
      </c>
      <c r="B49" s="21" t="s">
        <v>211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222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220</v>
      </c>
      <c r="B50" s="19" t="s">
        <v>263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221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223</v>
      </c>
      <c r="B51" s="21" t="s">
        <v>234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224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220</v>
      </c>
      <c r="B52" s="21" t="s">
        <v>270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224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225</v>
      </c>
      <c r="B53" s="19" t="s">
        <v>270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221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225</v>
      </c>
      <c r="B54" s="19" t="s">
        <v>263</v>
      </c>
      <c r="C54" s="20">
        <v>125</v>
      </c>
      <c r="D54" s="20" t="s">
        <v>4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224</v>
      </c>
      <c r="K54" s="23" t="str">
        <f>CONCATENATE(Table2[[#This Row],[Specs]],Table2[[#This Row],[Width]],Table2[[#This Row],[Slitting]])</f>
        <v>y ユポ80 MDN 8GB125一本刃</v>
      </c>
    </row>
    <row r="55" spans="1:11">
      <c r="A55" s="18" t="s">
        <v>223</v>
      </c>
      <c r="B55" s="19" t="s">
        <v>235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226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220</v>
      </c>
      <c r="B56" s="21" t="s">
        <v>234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224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225</v>
      </c>
      <c r="B57" s="21" t="s">
        <v>273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227</v>
      </c>
      <c r="B58" s="21" t="s">
        <v>273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220</v>
      </c>
      <c r="B59" s="19" t="s">
        <v>271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228</v>
      </c>
      <c r="B60" s="19" t="s">
        <v>263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229</v>
      </c>
      <c r="B61" s="36" t="s">
        <v>263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225</v>
      </c>
      <c r="B62" s="19" t="s">
        <v>274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220</v>
      </c>
      <c r="B63" s="24" t="s">
        <v>263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220</v>
      </c>
      <c r="B64" s="24" t="s">
        <v>231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260</v>
      </c>
      <c r="B65" s="21" t="s">
        <v>263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260</v>
      </c>
      <c r="B66" s="21" t="s">
        <v>263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276</v>
      </c>
      <c r="B67" s="19" t="s">
        <v>263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216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276</v>
      </c>
      <c r="B68" s="21" t="s">
        <v>263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216</v>
      </c>
      <c r="K68" s="23" t="str">
        <f>CONCATENATE(Table2[[#This Row],[Specs]],Table2[[#This Row],[Width]],Table2[[#This Row],[Slitting]])</f>
        <v>y ユポ80 MDN 8GB185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.8984375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205</v>
      </c>
      <c r="E2" s="25"/>
      <c r="F2" s="35" t="s">
        <v>265</v>
      </c>
      <c r="H2" s="25"/>
      <c r="I2" s="17"/>
    </row>
    <row r="3" spans="1:9">
      <c r="A3" s="25"/>
      <c r="B3" s="25"/>
      <c r="C3" s="25"/>
      <c r="D3" s="25"/>
      <c r="E3" s="25"/>
      <c r="F3" s="37">
        <f>LastSavedTimeStamp()</f>
        <v>44065.402905092589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17</v>
      </c>
      <c r="B5" s="25" t="s">
        <v>18</v>
      </c>
      <c r="C5" s="25" t="s">
        <v>194</v>
      </c>
      <c r="D5" s="25" t="s">
        <v>19</v>
      </c>
      <c r="E5" s="25" t="s">
        <v>20</v>
      </c>
      <c r="F5" s="25" t="s">
        <v>21</v>
      </c>
      <c r="G5" s="25" t="s">
        <v>197</v>
      </c>
      <c r="H5" s="25" t="s">
        <v>204</v>
      </c>
      <c r="I5" s="17"/>
    </row>
    <row r="6" spans="1:9">
      <c r="A6" s="27"/>
      <c r="B6" s="25" t="s">
        <v>23</v>
      </c>
      <c r="C6" s="25">
        <v>3101</v>
      </c>
      <c r="D6" s="25" t="s">
        <v>24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23</v>
      </c>
      <c r="C7" s="25">
        <v>3101</v>
      </c>
      <c r="D7" s="25" t="s">
        <v>25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23</v>
      </c>
      <c r="C8" s="25">
        <v>3101</v>
      </c>
      <c r="D8" s="25" t="s">
        <v>26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23</v>
      </c>
      <c r="C9" s="25">
        <v>391</v>
      </c>
      <c r="D9" s="25" t="s">
        <v>27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23</v>
      </c>
      <c r="C10" s="25">
        <v>391</v>
      </c>
      <c r="D10" s="25" t="s">
        <v>28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23</v>
      </c>
      <c r="C11" s="25">
        <v>391</v>
      </c>
      <c r="D11" s="25" t="s">
        <v>29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23</v>
      </c>
      <c r="C12" s="25">
        <v>371</v>
      </c>
      <c r="D12" s="25" t="s">
        <v>196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23</v>
      </c>
      <c r="C13" s="25">
        <v>341</v>
      </c>
      <c r="D13" s="25" t="s">
        <v>30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23</v>
      </c>
      <c r="C14" s="25">
        <v>351</v>
      </c>
      <c r="D14" s="25" t="s">
        <v>31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23</v>
      </c>
      <c r="C15" s="25">
        <v>361</v>
      </c>
      <c r="D15" s="25" t="s">
        <v>32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23</v>
      </c>
      <c r="C16" s="25">
        <v>371</v>
      </c>
      <c r="D16" s="25" t="s">
        <v>33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23</v>
      </c>
      <c r="C17" s="25">
        <v>381</v>
      </c>
      <c r="D17" s="25" t="s">
        <v>34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23</v>
      </c>
      <c r="C18" s="25">
        <v>361</v>
      </c>
      <c r="D18" s="25" t="s">
        <v>35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23</v>
      </c>
      <c r="C19" s="25">
        <v>361</v>
      </c>
      <c r="D19" s="25" t="s">
        <v>36</v>
      </c>
      <c r="E19" s="25" t="s">
        <v>59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23</v>
      </c>
      <c r="C20" s="25">
        <v>341</v>
      </c>
      <c r="D20" s="25" t="s">
        <v>37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23</v>
      </c>
      <c r="C21" s="25">
        <v>371</v>
      </c>
      <c r="D21" s="25" t="s">
        <v>38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23</v>
      </c>
      <c r="C22" s="25">
        <v>351</v>
      </c>
      <c r="D22" s="25" t="s">
        <v>39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23</v>
      </c>
      <c r="C23" s="25">
        <v>341</v>
      </c>
      <c r="D23" s="25" t="s">
        <v>37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23</v>
      </c>
      <c r="C24" s="25">
        <v>331</v>
      </c>
      <c r="D24" s="25" t="s">
        <v>40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23</v>
      </c>
      <c r="C25" s="25">
        <v>331</v>
      </c>
      <c r="D25" s="25" t="s">
        <v>41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23</v>
      </c>
      <c r="C26" s="25">
        <v>331</v>
      </c>
      <c r="D26" s="25" t="s">
        <v>42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23</v>
      </c>
      <c r="C27" s="25">
        <v>321</v>
      </c>
      <c r="D27" s="25" t="s">
        <v>43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23</v>
      </c>
      <c r="C28" s="25">
        <v>321</v>
      </c>
      <c r="D28" s="25" t="s">
        <v>44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23</v>
      </c>
      <c r="C29" s="25">
        <v>321</v>
      </c>
      <c r="D29" s="25" t="s">
        <v>45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23</v>
      </c>
      <c r="C30" s="25">
        <v>311</v>
      </c>
      <c r="D30" s="25" t="s">
        <v>275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23</v>
      </c>
      <c r="C31" s="25">
        <v>311</v>
      </c>
      <c r="D31" s="25" t="s">
        <v>47</v>
      </c>
      <c r="E31" s="28">
        <v>43837</v>
      </c>
      <c r="F31" s="25"/>
      <c r="G31" s="25" t="s">
        <v>48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23</v>
      </c>
      <c r="C32" s="25">
        <v>311</v>
      </c>
      <c r="D32" s="25" t="s">
        <v>49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23</v>
      </c>
      <c r="C33" s="25">
        <v>301</v>
      </c>
      <c r="D33" s="25" t="s">
        <v>50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23</v>
      </c>
      <c r="C34" s="25">
        <v>302</v>
      </c>
      <c r="D34" s="25" t="s">
        <v>51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23</v>
      </c>
      <c r="C35" s="25">
        <v>301</v>
      </c>
      <c r="D35" s="25" t="s">
        <v>52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53</v>
      </c>
      <c r="C36" s="25">
        <v>291</v>
      </c>
      <c r="D36" s="25" t="s">
        <v>54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53</v>
      </c>
      <c r="C37" s="25">
        <v>121</v>
      </c>
      <c r="D37" s="25" t="s">
        <v>54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53</v>
      </c>
      <c r="C38" s="25">
        <v>171</v>
      </c>
      <c r="D38" s="25" t="s">
        <v>54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53</v>
      </c>
      <c r="C39" s="25">
        <v>161</v>
      </c>
      <c r="D39" s="25" t="s">
        <v>55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53</v>
      </c>
      <c r="C40" s="25">
        <v>171</v>
      </c>
      <c r="D40" s="25" t="s">
        <v>55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53</v>
      </c>
      <c r="C41" s="25">
        <v>181</v>
      </c>
      <c r="D41" s="25" t="s">
        <v>56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23</v>
      </c>
      <c r="C42" s="25">
        <v>251</v>
      </c>
      <c r="D42" s="25" t="s">
        <v>57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23</v>
      </c>
      <c r="C43" s="25">
        <v>281</v>
      </c>
      <c r="D43" s="25" t="s">
        <v>58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23</v>
      </c>
      <c r="C44" s="25">
        <v>281</v>
      </c>
      <c r="D44" s="25" t="s">
        <v>57</v>
      </c>
      <c r="E44" s="25" t="s">
        <v>59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23</v>
      </c>
      <c r="C45" s="25">
        <v>271</v>
      </c>
      <c r="D45" s="25" t="s">
        <v>60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23</v>
      </c>
      <c r="C46" s="25">
        <v>271</v>
      </c>
      <c r="D46" s="25" t="s">
        <v>61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23</v>
      </c>
      <c r="C47" s="25">
        <v>271</v>
      </c>
      <c r="D47" s="25" t="s">
        <v>62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23</v>
      </c>
      <c r="C48" s="25">
        <v>261</v>
      </c>
      <c r="D48" s="25" t="s">
        <v>63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23</v>
      </c>
      <c r="C49" s="25">
        <v>261</v>
      </c>
      <c r="D49" s="25" t="s">
        <v>64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23</v>
      </c>
      <c r="C50" s="25">
        <v>261</v>
      </c>
      <c r="D50" s="25" t="s">
        <v>65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23</v>
      </c>
      <c r="C51" s="25">
        <v>251</v>
      </c>
      <c r="D51" s="25" t="s">
        <v>66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23</v>
      </c>
      <c r="C52" s="25">
        <v>251</v>
      </c>
      <c r="D52" s="25" t="s">
        <v>63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23</v>
      </c>
      <c r="C53" s="25">
        <v>222</v>
      </c>
      <c r="D53" s="25" t="s">
        <v>67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23</v>
      </c>
      <c r="C54" s="25">
        <v>241</v>
      </c>
      <c r="D54" s="25" t="s">
        <v>68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23</v>
      </c>
      <c r="C55" s="25">
        <v>241</v>
      </c>
      <c r="D55" s="25" t="s">
        <v>69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23</v>
      </c>
      <c r="C56" s="25">
        <v>241</v>
      </c>
      <c r="D56" s="25" t="s">
        <v>70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23</v>
      </c>
      <c r="C57" s="25">
        <v>231</v>
      </c>
      <c r="D57" s="25" t="s">
        <v>71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23</v>
      </c>
      <c r="C58" s="25">
        <v>231</v>
      </c>
      <c r="D58" s="25" t="s">
        <v>71</v>
      </c>
      <c r="E58" s="25" t="s">
        <v>59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23</v>
      </c>
      <c r="C59" s="25">
        <v>231</v>
      </c>
      <c r="D59" s="25" t="s">
        <v>72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23</v>
      </c>
      <c r="C60" s="25">
        <v>201</v>
      </c>
      <c r="D60" s="25" t="s">
        <v>242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23</v>
      </c>
      <c r="C61" s="29">
        <v>221</v>
      </c>
      <c r="D61" s="25" t="s">
        <v>74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23</v>
      </c>
      <c r="C62" s="29">
        <v>221</v>
      </c>
      <c r="D62" s="25" t="s">
        <v>75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23</v>
      </c>
      <c r="C63" s="29">
        <v>222</v>
      </c>
      <c r="D63" s="25" t="s">
        <v>76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23</v>
      </c>
      <c r="C64" s="29">
        <v>211</v>
      </c>
      <c r="D64" s="25" t="s">
        <v>77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23</v>
      </c>
      <c r="C65" s="29">
        <v>211</v>
      </c>
      <c r="D65" s="25" t="s">
        <v>78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23</v>
      </c>
      <c r="C66" s="25">
        <v>221</v>
      </c>
      <c r="D66" s="25" t="s">
        <v>79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23</v>
      </c>
      <c r="C67" s="29">
        <v>201</v>
      </c>
      <c r="D67" s="25" t="s">
        <v>80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23</v>
      </c>
      <c r="C68" s="29">
        <v>201</v>
      </c>
      <c r="D68" s="25" t="s">
        <v>81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23</v>
      </c>
      <c r="C69" s="25">
        <v>1101</v>
      </c>
      <c r="D69" s="25" t="s">
        <v>82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23</v>
      </c>
      <c r="C70" s="25">
        <v>1101</v>
      </c>
      <c r="D70" s="25" t="s">
        <v>83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23</v>
      </c>
      <c r="C71" s="25">
        <v>1101</v>
      </c>
      <c r="D71" s="25" t="s">
        <v>84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23</v>
      </c>
      <c r="C72" s="25">
        <v>231</v>
      </c>
      <c r="D72" s="25" t="s">
        <v>82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23</v>
      </c>
      <c r="C73" s="25">
        <v>191</v>
      </c>
      <c r="D73" s="25" t="s">
        <v>30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23</v>
      </c>
      <c r="C74" s="25">
        <v>191</v>
      </c>
      <c r="D74" s="25" t="s">
        <v>85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23</v>
      </c>
      <c r="C75" s="25">
        <v>191</v>
      </c>
      <c r="D75" s="25" t="s">
        <v>86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23</v>
      </c>
      <c r="C76" s="25">
        <v>181</v>
      </c>
      <c r="D76" s="25" t="s">
        <v>87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23</v>
      </c>
      <c r="C77" s="25">
        <v>171</v>
      </c>
      <c r="D77" s="25" t="s">
        <v>46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23</v>
      </c>
      <c r="C78" s="25">
        <v>171</v>
      </c>
      <c r="D78" s="25" t="s">
        <v>88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23</v>
      </c>
      <c r="C79" s="25">
        <v>161</v>
      </c>
      <c r="D79" s="25" t="s">
        <v>89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23</v>
      </c>
      <c r="C80" s="25">
        <v>161</v>
      </c>
      <c r="D80" s="25" t="s">
        <v>90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23</v>
      </c>
      <c r="C81" s="25">
        <v>151</v>
      </c>
      <c r="D81" s="25" t="s">
        <v>91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23</v>
      </c>
      <c r="C82" s="25">
        <v>151</v>
      </c>
      <c r="D82" s="25" t="s">
        <v>92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23</v>
      </c>
      <c r="C83" s="25">
        <v>151</v>
      </c>
      <c r="D83" s="25" t="s">
        <v>92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23</v>
      </c>
      <c r="C84" s="25">
        <v>141</v>
      </c>
      <c r="D84" s="25" t="s">
        <v>93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23</v>
      </c>
      <c r="C85" s="25">
        <v>141</v>
      </c>
      <c r="D85" s="25" t="s">
        <v>94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23</v>
      </c>
      <c r="C86" s="25">
        <v>141</v>
      </c>
      <c r="D86" s="25" t="s">
        <v>95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23</v>
      </c>
      <c r="C87" s="25">
        <v>222</v>
      </c>
      <c r="D87" s="25" t="s">
        <v>71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23</v>
      </c>
      <c r="C88" s="25">
        <v>131</v>
      </c>
      <c r="D88" s="25" t="s">
        <v>67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23</v>
      </c>
      <c r="C89" s="25">
        <v>121</v>
      </c>
      <c r="D89" s="25" t="s">
        <v>69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23</v>
      </c>
      <c r="C90" s="25">
        <v>121</v>
      </c>
      <c r="D90" s="25" t="s">
        <v>69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23</v>
      </c>
      <c r="C91" s="25">
        <v>111</v>
      </c>
      <c r="D91" s="25" t="s">
        <v>96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23</v>
      </c>
      <c r="C92" s="25">
        <v>111</v>
      </c>
      <c r="D92" s="25" t="s">
        <v>96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23</v>
      </c>
      <c r="C93" s="25">
        <v>111</v>
      </c>
      <c r="D93" s="25" t="s">
        <v>97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23</v>
      </c>
      <c r="C94" s="25">
        <v>242</v>
      </c>
      <c r="D94" s="25" t="s">
        <v>98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23</v>
      </c>
      <c r="C95" s="25">
        <v>101</v>
      </c>
      <c r="D95" s="25" t="s">
        <v>99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23</v>
      </c>
      <c r="C96" s="25">
        <v>101</v>
      </c>
      <c r="D96" s="25" t="s">
        <v>100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23</v>
      </c>
      <c r="C97" s="25">
        <v>101</v>
      </c>
      <c r="D97" s="25" t="s">
        <v>101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23</v>
      </c>
      <c r="C98" s="25">
        <v>303</v>
      </c>
      <c r="D98" s="25" t="s">
        <v>102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23</v>
      </c>
      <c r="C99" s="25">
        <v>303</v>
      </c>
      <c r="D99" s="25" t="s">
        <v>102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23</v>
      </c>
      <c r="C100" s="25">
        <v>301</v>
      </c>
      <c r="D100" s="25" t="s">
        <v>51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23</v>
      </c>
      <c r="C101" s="25">
        <v>302</v>
      </c>
      <c r="D101" s="25" t="s">
        <v>84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23</v>
      </c>
      <c r="C102" s="25">
        <v>203</v>
      </c>
      <c r="D102" s="25" t="s">
        <v>103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23</v>
      </c>
      <c r="C103" s="25">
        <v>203</v>
      </c>
      <c r="D103" s="25" t="s">
        <v>104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23</v>
      </c>
      <c r="C104" s="25">
        <v>203</v>
      </c>
      <c r="D104" s="25" t="s">
        <v>105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23</v>
      </c>
      <c r="C105" s="25">
        <v>202</v>
      </c>
      <c r="D105" s="25" t="s">
        <v>106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23</v>
      </c>
      <c r="C106" s="25">
        <v>202</v>
      </c>
      <c r="D106" s="25" t="s">
        <v>107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23</v>
      </c>
      <c r="C107" s="25">
        <v>213</v>
      </c>
      <c r="D107" s="25" t="s">
        <v>108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23</v>
      </c>
      <c r="C108" s="25">
        <v>103</v>
      </c>
      <c r="D108" s="25" t="s">
        <v>109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23</v>
      </c>
      <c r="C109" s="25">
        <v>103</v>
      </c>
      <c r="D109" s="25" t="s">
        <v>110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23</v>
      </c>
      <c r="C110" s="25">
        <v>103</v>
      </c>
      <c r="D110" s="25" t="s">
        <v>110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23</v>
      </c>
      <c r="C111" s="25">
        <v>103</v>
      </c>
      <c r="D111" s="25" t="s">
        <v>95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23</v>
      </c>
      <c r="C112" s="25">
        <v>153</v>
      </c>
      <c r="D112" s="25" t="s">
        <v>111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23</v>
      </c>
      <c r="C113" s="25">
        <v>153</v>
      </c>
      <c r="D113" s="25" t="s">
        <v>111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23</v>
      </c>
      <c r="C114" s="25">
        <v>153</v>
      </c>
      <c r="D114" s="25" t="s">
        <v>111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23</v>
      </c>
      <c r="C115" s="25">
        <v>153</v>
      </c>
      <c r="D115" s="25" t="s">
        <v>111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23</v>
      </c>
      <c r="C116" s="25">
        <v>303</v>
      </c>
      <c r="D116" s="25" t="s">
        <v>112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23</v>
      </c>
      <c r="C117" s="25">
        <v>313</v>
      </c>
      <c r="D117" s="25" t="s">
        <v>113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23</v>
      </c>
      <c r="C118" s="25">
        <v>232</v>
      </c>
      <c r="D118" s="25" t="s">
        <v>114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23</v>
      </c>
      <c r="C119" s="25">
        <v>323</v>
      </c>
      <c r="D119" s="25" t="s">
        <v>114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23</v>
      </c>
      <c r="C120" s="25">
        <v>293</v>
      </c>
      <c r="D120" s="25" t="s">
        <v>115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23</v>
      </c>
      <c r="C121" s="25">
        <v>343</v>
      </c>
      <c r="D121" s="25" t="s">
        <v>116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23</v>
      </c>
      <c r="C122" s="25">
        <v>343</v>
      </c>
      <c r="D122" s="25" t="s">
        <v>117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23</v>
      </c>
      <c r="C123" s="25">
        <v>283</v>
      </c>
      <c r="D123" s="25" t="s">
        <v>118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23</v>
      </c>
      <c r="C124" s="25">
        <v>333</v>
      </c>
      <c r="D124" s="25" t="s">
        <v>119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23</v>
      </c>
      <c r="C125" s="25">
        <v>343</v>
      </c>
      <c r="D125" s="25" t="s">
        <v>120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23</v>
      </c>
      <c r="C126" s="25">
        <v>313</v>
      </c>
      <c r="D126" s="25" t="s">
        <v>253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23</v>
      </c>
      <c r="C127" s="25">
        <v>313</v>
      </c>
      <c r="D127" s="25" t="s">
        <v>121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23</v>
      </c>
      <c r="C128" s="25">
        <v>333</v>
      </c>
      <c r="D128" s="25" t="s">
        <v>122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23</v>
      </c>
      <c r="C129" s="25">
        <v>333</v>
      </c>
      <c r="D129" s="25" t="s">
        <v>123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23</v>
      </c>
      <c r="C130" s="25">
        <v>373</v>
      </c>
      <c r="D130" s="25" t="s">
        <v>124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23</v>
      </c>
      <c r="C131" s="25">
        <v>283</v>
      </c>
      <c r="D131" s="25" t="s">
        <v>124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23</v>
      </c>
      <c r="C132" s="25">
        <v>373</v>
      </c>
      <c r="D132" s="25" t="s">
        <v>124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23</v>
      </c>
      <c r="C133" s="25">
        <v>383</v>
      </c>
      <c r="D133" s="25" t="s">
        <v>125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23</v>
      </c>
      <c r="C134" s="25">
        <v>383</v>
      </c>
      <c r="D134" s="25" t="s">
        <v>31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23</v>
      </c>
      <c r="C135" s="25"/>
      <c r="D135" s="25" t="s">
        <v>126</v>
      </c>
      <c r="E135" s="25" t="s">
        <v>127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23</v>
      </c>
      <c r="C136" s="25"/>
      <c r="D136" s="25" t="s">
        <v>126</v>
      </c>
      <c r="E136" s="25" t="s">
        <v>127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23</v>
      </c>
      <c r="C137" s="25">
        <v>3103</v>
      </c>
      <c r="D137" s="25" t="s">
        <v>82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23</v>
      </c>
      <c r="C138" s="25">
        <v>3103</v>
      </c>
      <c r="D138" s="25" t="s">
        <v>82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23</v>
      </c>
      <c r="C139" s="25">
        <v>212</v>
      </c>
      <c r="D139" s="25" t="s">
        <v>128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23</v>
      </c>
      <c r="C140" s="25">
        <v>212</v>
      </c>
      <c r="D140" s="25" t="s">
        <v>129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23</v>
      </c>
      <c r="C141" s="25">
        <v>212</v>
      </c>
      <c r="D141" s="25" t="s">
        <v>248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23</v>
      </c>
      <c r="C142" s="25">
        <v>222</v>
      </c>
      <c r="D142" s="25" t="s">
        <v>57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23</v>
      </c>
      <c r="C143" s="25">
        <v>293</v>
      </c>
      <c r="D143" s="25" t="s">
        <v>130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23</v>
      </c>
      <c r="C144" s="25">
        <v>232</v>
      </c>
      <c r="D144" s="25" t="s">
        <v>131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23</v>
      </c>
      <c r="C145" s="25">
        <v>232</v>
      </c>
      <c r="D145" s="25" t="s">
        <v>132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23</v>
      </c>
      <c r="C146" s="25">
        <v>323</v>
      </c>
      <c r="D146" s="25" t="s">
        <v>133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23</v>
      </c>
      <c r="C147" s="25">
        <v>252</v>
      </c>
      <c r="D147" s="25" t="s">
        <v>134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23</v>
      </c>
      <c r="C148" s="25">
        <v>242</v>
      </c>
      <c r="D148" s="25" t="s">
        <v>135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23</v>
      </c>
      <c r="C149" s="25">
        <v>242</v>
      </c>
      <c r="D149" s="25" t="s">
        <v>136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23</v>
      </c>
      <c r="C150" s="25">
        <v>252</v>
      </c>
      <c r="D150" s="25" t="s">
        <v>137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23</v>
      </c>
      <c r="C151" s="25">
        <v>252</v>
      </c>
      <c r="D151" s="25" t="s">
        <v>138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23</v>
      </c>
      <c r="C152" s="25">
        <v>262</v>
      </c>
      <c r="D152" s="25" t="s">
        <v>139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23</v>
      </c>
      <c r="C153" s="25">
        <v>262</v>
      </c>
      <c r="D153" s="25" t="s">
        <v>140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23</v>
      </c>
      <c r="C154" s="25">
        <v>262</v>
      </c>
      <c r="D154" s="25" t="s">
        <v>101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23</v>
      </c>
      <c r="C155" s="25">
        <v>272</v>
      </c>
      <c r="D155" s="25" t="s">
        <v>141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23</v>
      </c>
      <c r="C156" s="25">
        <v>272</v>
      </c>
      <c r="D156" s="25" t="s">
        <v>141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23</v>
      </c>
      <c r="C157" s="25">
        <v>272</v>
      </c>
      <c r="D157" s="25" t="s">
        <v>142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23</v>
      </c>
      <c r="C158" s="25">
        <v>282</v>
      </c>
      <c r="D158" s="25" t="s">
        <v>143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23</v>
      </c>
      <c r="C159" s="25">
        <v>282</v>
      </c>
      <c r="D159" s="25" t="s">
        <v>127</v>
      </c>
      <c r="E159" s="25" t="s">
        <v>127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23</v>
      </c>
      <c r="C160" s="25">
        <v>292</v>
      </c>
      <c r="D160" s="25" t="s">
        <v>144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23</v>
      </c>
      <c r="C161" s="25">
        <v>292</v>
      </c>
      <c r="D161" s="25" t="s">
        <v>145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23</v>
      </c>
      <c r="C162" s="25">
        <v>2102</v>
      </c>
      <c r="D162" s="25" t="s">
        <v>146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23</v>
      </c>
      <c r="C163" s="25">
        <v>2102</v>
      </c>
      <c r="D163" s="25" t="s">
        <v>147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23</v>
      </c>
      <c r="C164" s="25">
        <v>113</v>
      </c>
      <c r="D164" s="25" t="s">
        <v>148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23</v>
      </c>
      <c r="C165" s="25">
        <v>113</v>
      </c>
      <c r="D165" s="25" t="s">
        <v>149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23</v>
      </c>
      <c r="C166" s="25">
        <v>113</v>
      </c>
      <c r="D166" s="25" t="s">
        <v>241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23</v>
      </c>
      <c r="C167" s="25">
        <v>173</v>
      </c>
      <c r="D167" s="25" t="s">
        <v>151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23</v>
      </c>
      <c r="C168" s="25">
        <v>123</v>
      </c>
      <c r="D168" s="25" t="s">
        <v>152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23</v>
      </c>
      <c r="C169" s="25">
        <v>123</v>
      </c>
      <c r="D169" s="25" t="s">
        <v>191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23</v>
      </c>
      <c r="C170" s="25">
        <v>123</v>
      </c>
      <c r="D170" s="25" t="s">
        <v>141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23</v>
      </c>
      <c r="C171" s="25">
        <v>113</v>
      </c>
      <c r="D171" s="25" t="s">
        <v>151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23</v>
      </c>
      <c r="C172" s="25">
        <v>143</v>
      </c>
      <c r="D172" s="25" t="s">
        <v>153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23</v>
      </c>
      <c r="C173" s="25">
        <v>133</v>
      </c>
      <c r="D173" s="25" t="s">
        <v>154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23</v>
      </c>
      <c r="C174" s="25">
        <v>133</v>
      </c>
      <c r="D174" s="25" t="s">
        <v>155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23</v>
      </c>
      <c r="C175" s="25">
        <v>133</v>
      </c>
      <c r="D175" s="25" t="s">
        <v>156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23</v>
      </c>
      <c r="C176" s="25">
        <v>133</v>
      </c>
      <c r="D176" s="25" t="s">
        <v>157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23</v>
      </c>
      <c r="C177" s="25">
        <v>143</v>
      </c>
      <c r="D177" s="25" t="s">
        <v>158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23</v>
      </c>
      <c r="C178" s="25">
        <v>143</v>
      </c>
      <c r="D178" s="25" t="s">
        <v>159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23</v>
      </c>
      <c r="C179" s="25">
        <v>123</v>
      </c>
      <c r="D179" s="25" t="s">
        <v>160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23</v>
      </c>
      <c r="C180" s="25">
        <v>183</v>
      </c>
      <c r="D180" s="25" t="s">
        <v>161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23</v>
      </c>
      <c r="C181" s="25">
        <v>163</v>
      </c>
      <c r="D181" s="25" t="s">
        <v>162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23</v>
      </c>
      <c r="C182" s="25">
        <v>163</v>
      </c>
      <c r="D182" s="25" t="s">
        <v>163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23</v>
      </c>
      <c r="C183" s="25">
        <v>143</v>
      </c>
      <c r="D183" s="25" t="s">
        <v>164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53</v>
      </c>
      <c r="C184" s="25">
        <v>173</v>
      </c>
      <c r="D184" s="25" t="s">
        <v>165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53</v>
      </c>
      <c r="C185" s="25">
        <v>173</v>
      </c>
      <c r="D185" s="25" t="s">
        <v>165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23</v>
      </c>
      <c r="C186" s="25">
        <v>163</v>
      </c>
      <c r="D186" s="25" t="s">
        <v>166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23</v>
      </c>
      <c r="C187" s="25">
        <v>183</v>
      </c>
      <c r="D187" s="25" t="s">
        <v>167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23</v>
      </c>
      <c r="C188" s="25">
        <v>193</v>
      </c>
      <c r="D188" s="25" t="s">
        <v>168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23</v>
      </c>
      <c r="C189" s="25">
        <v>193</v>
      </c>
      <c r="D189" s="25" t="s">
        <v>168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23</v>
      </c>
      <c r="C190" s="25">
        <v>193</v>
      </c>
      <c r="D190" s="25" t="s">
        <v>169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23</v>
      </c>
      <c r="C191" s="25">
        <v>183</v>
      </c>
      <c r="D191" s="25" t="s">
        <v>245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23</v>
      </c>
      <c r="C192" s="25">
        <v>183</v>
      </c>
      <c r="D192" s="25" t="s">
        <v>171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23</v>
      </c>
      <c r="C193" s="25">
        <v>282</v>
      </c>
      <c r="D193" s="25" t="s">
        <v>172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23</v>
      </c>
      <c r="C194" s="25">
        <v>1103</v>
      </c>
      <c r="D194" s="25" t="s">
        <v>172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23</v>
      </c>
      <c r="C195" s="25">
        <v>381</v>
      </c>
      <c r="D195" s="25" t="s">
        <v>195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23</v>
      </c>
      <c r="C196" s="31">
        <v>381</v>
      </c>
      <c r="D196" s="31" t="s">
        <v>206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23</v>
      </c>
      <c r="C197" s="31">
        <v>351</v>
      </c>
      <c r="D197" s="31" t="s">
        <v>207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23</v>
      </c>
      <c r="C198" s="31">
        <v>291</v>
      </c>
      <c r="D198" s="31" t="s">
        <v>208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23</v>
      </c>
      <c r="C199" s="31">
        <v>281</v>
      </c>
      <c r="D199" s="31" t="s">
        <v>209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23</v>
      </c>
      <c r="C200" s="31">
        <v>201</v>
      </c>
      <c r="D200" s="31" t="s">
        <v>242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217</v>
      </c>
      <c r="C201" s="31">
        <v>163</v>
      </c>
      <c r="D201" s="31" t="s">
        <v>243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23</v>
      </c>
      <c r="C202" s="31">
        <v>173</v>
      </c>
      <c r="D202" s="31" t="s">
        <v>244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23</v>
      </c>
      <c r="C203" s="31">
        <v>302</v>
      </c>
      <c r="D203" s="31" t="s">
        <v>246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23</v>
      </c>
      <c r="C204" s="31">
        <v>323</v>
      </c>
      <c r="D204" s="31" t="s">
        <v>123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23</v>
      </c>
      <c r="C205" s="31">
        <v>213</v>
      </c>
      <c r="D205" s="31" t="s">
        <v>247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23</v>
      </c>
      <c r="C206" s="31">
        <v>273</v>
      </c>
      <c r="D206" s="31" t="s">
        <v>249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23</v>
      </c>
      <c r="C207" s="31">
        <v>2103</v>
      </c>
      <c r="D207" s="31" t="s">
        <v>250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23</v>
      </c>
      <c r="C208" s="31">
        <v>2103</v>
      </c>
      <c r="D208" s="31" t="s">
        <v>251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23</v>
      </c>
      <c r="C209" s="31">
        <v>2103</v>
      </c>
      <c r="D209" s="31" t="s">
        <v>252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6"/>
  <sheetViews>
    <sheetView zoomScaleNormal="100" workbookViewId="0">
      <selection activeCell="E2" sqref="E2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6" t="s">
        <v>237</v>
      </c>
      <c r="B1" s="47"/>
      <c r="C1" s="48" t="s">
        <v>255</v>
      </c>
      <c r="D1" s="49"/>
      <c r="E1" s="50" t="s">
        <v>258</v>
      </c>
      <c r="F1" s="51"/>
    </row>
    <row r="2" spans="1:6">
      <c r="E2" s="9" t="s">
        <v>259</v>
      </c>
    </row>
    <row r="3" spans="1:6">
      <c r="A3" s="8">
        <v>44061</v>
      </c>
      <c r="B3" s="7" t="s">
        <v>236</v>
      </c>
      <c r="C3" s="9" t="s">
        <v>257</v>
      </c>
      <c r="D3" s="7" t="s">
        <v>239</v>
      </c>
    </row>
    <row r="4" spans="1:6">
      <c r="A4" s="8">
        <v>44062</v>
      </c>
      <c r="B4" s="7" t="s">
        <v>254</v>
      </c>
      <c r="C4" s="9" t="s">
        <v>256</v>
      </c>
    </row>
    <row r="5" spans="1:6">
      <c r="A5" s="8">
        <v>44063</v>
      </c>
      <c r="B5" s="9" t="s">
        <v>238</v>
      </c>
    </row>
    <row r="6" spans="1:6">
      <c r="A6" s="8">
        <v>44064</v>
      </c>
      <c r="B6" s="7" t="s">
        <v>277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173</v>
      </c>
      <c r="B1" s="1" t="s">
        <v>174</v>
      </c>
    </row>
    <row r="2" spans="1:2" ht="21.75" customHeight="1">
      <c r="A2" s="1" t="s">
        <v>175</v>
      </c>
      <c r="B2" s="2">
        <v>43237</v>
      </c>
    </row>
    <row r="3" spans="1:2" ht="21.75" customHeight="1">
      <c r="A3" s="1" t="s">
        <v>176</v>
      </c>
      <c r="B3" s="2">
        <v>43237</v>
      </c>
    </row>
    <row r="4" spans="1:2" ht="21.75" customHeight="1">
      <c r="A4" s="1" t="s">
        <v>65</v>
      </c>
      <c r="B4" s="2">
        <v>43272</v>
      </c>
    </row>
    <row r="5" spans="1:2" ht="21.75" customHeight="1">
      <c r="A5" s="1" t="s">
        <v>177</v>
      </c>
      <c r="B5" s="2">
        <v>43272</v>
      </c>
    </row>
    <row r="6" spans="1:2" ht="21.75" customHeight="1">
      <c r="A6" s="1" t="s">
        <v>178</v>
      </c>
      <c r="B6" s="2">
        <v>43272</v>
      </c>
    </row>
    <row r="7" spans="1:2" ht="21.75" customHeight="1">
      <c r="A7" s="1" t="s">
        <v>179</v>
      </c>
      <c r="B7" s="2">
        <v>43272</v>
      </c>
    </row>
    <row r="8" spans="1:2" ht="21.75" customHeight="1">
      <c r="A8" s="1" t="s">
        <v>180</v>
      </c>
      <c r="B8" s="2">
        <v>43279</v>
      </c>
    </row>
    <row r="9" spans="1:2" ht="21.75" customHeight="1">
      <c r="A9" s="1" t="s">
        <v>181</v>
      </c>
      <c r="B9" s="2">
        <v>43293</v>
      </c>
    </row>
    <row r="10" spans="1:2" ht="21.75" customHeight="1">
      <c r="A10" s="1" t="s">
        <v>182</v>
      </c>
      <c r="B10" s="2">
        <v>43307</v>
      </c>
    </row>
    <row r="11" spans="1:2" ht="21.75" customHeight="1">
      <c r="A11" s="1" t="s">
        <v>183</v>
      </c>
      <c r="B11" s="2">
        <v>43307</v>
      </c>
    </row>
    <row r="12" spans="1:2" ht="21.75" customHeight="1">
      <c r="A12" s="1" t="s">
        <v>184</v>
      </c>
      <c r="B12" s="2">
        <v>43390</v>
      </c>
    </row>
    <row r="13" spans="1:2" ht="21.75" customHeight="1">
      <c r="A13" s="1" t="s">
        <v>185</v>
      </c>
      <c r="B13" s="2">
        <v>43511</v>
      </c>
    </row>
    <row r="14" spans="1:2" ht="21.75" customHeight="1">
      <c r="A14" s="1" t="s">
        <v>186</v>
      </c>
      <c r="B14" s="2">
        <v>43521</v>
      </c>
    </row>
    <row r="15" spans="1:2" ht="21.75" customHeight="1">
      <c r="A15" s="1" t="s">
        <v>187</v>
      </c>
      <c r="B15" s="2">
        <v>43571</v>
      </c>
    </row>
    <row r="16" spans="1:2" ht="21.75" customHeight="1">
      <c r="A16" s="1" t="s">
        <v>188</v>
      </c>
      <c r="B16" s="2">
        <v>43573</v>
      </c>
    </row>
    <row r="17" spans="1:2" ht="21.75" customHeight="1">
      <c r="A17" s="1" t="s">
        <v>189</v>
      </c>
      <c r="B17" s="2">
        <v>43577</v>
      </c>
    </row>
    <row r="18" spans="1:2" ht="21.75" customHeight="1">
      <c r="A18" s="1" t="s">
        <v>190</v>
      </c>
      <c r="B18" s="2">
        <v>43605</v>
      </c>
    </row>
    <row r="19" spans="1:2" ht="21.75" customHeight="1">
      <c r="A19" s="3" t="s">
        <v>191</v>
      </c>
      <c r="B19" s="2">
        <v>43669</v>
      </c>
    </row>
    <row r="20" spans="1:2" ht="21.75" customHeight="1">
      <c r="A20" s="1" t="s">
        <v>192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19</v>
      </c>
      <c r="B1" s="1" t="s">
        <v>20</v>
      </c>
      <c r="C1" s="1" t="s">
        <v>22</v>
      </c>
    </row>
    <row r="2" spans="1:3" ht="21.75" customHeight="1">
      <c r="A2" s="3" t="s">
        <v>82</v>
      </c>
      <c r="B2" s="4">
        <v>43742</v>
      </c>
      <c r="C2" s="4">
        <v>43482</v>
      </c>
    </row>
    <row r="3" spans="1:3" ht="21.75" customHeight="1">
      <c r="A3" s="3" t="s">
        <v>111</v>
      </c>
      <c r="B3" s="4">
        <v>43742</v>
      </c>
      <c r="C3" s="4">
        <v>43293</v>
      </c>
    </row>
    <row r="4" spans="1:3" ht="21.75" customHeight="1">
      <c r="A4" s="3" t="s">
        <v>193</v>
      </c>
      <c r="B4" s="4">
        <v>43307</v>
      </c>
      <c r="C4" s="4">
        <v>43307</v>
      </c>
    </row>
    <row r="5" spans="1:3" ht="21.75" customHeight="1">
      <c r="A5" s="3" t="s">
        <v>30</v>
      </c>
      <c r="B5" s="4">
        <v>43307</v>
      </c>
      <c r="C5" s="4">
        <v>43307</v>
      </c>
    </row>
    <row r="6" spans="1:3" ht="21.75" customHeight="1">
      <c r="A6" s="3" t="s">
        <v>95</v>
      </c>
      <c r="B6" s="4">
        <v>43272</v>
      </c>
      <c r="C6" s="4">
        <v>43272</v>
      </c>
    </row>
    <row r="7" spans="1:3" ht="21.75" customHeight="1">
      <c r="A7" s="3" t="s">
        <v>143</v>
      </c>
      <c r="B7" s="4">
        <v>43101</v>
      </c>
      <c r="C7" s="4">
        <v>43293</v>
      </c>
    </row>
    <row r="8" spans="1:3" ht="21.75" customHeight="1">
      <c r="A8" s="3" t="s">
        <v>134</v>
      </c>
      <c r="B8" s="4">
        <v>43573</v>
      </c>
      <c r="C8" s="4">
        <v>43573</v>
      </c>
    </row>
    <row r="9" spans="1:3" ht="21.75" customHeight="1">
      <c r="A9" s="3" t="s">
        <v>96</v>
      </c>
      <c r="B9" s="4">
        <v>43573</v>
      </c>
      <c r="C9" s="4">
        <v>43573</v>
      </c>
    </row>
    <row r="10" spans="1:3" ht="21.75" customHeight="1">
      <c r="A10" s="3" t="s">
        <v>107</v>
      </c>
      <c r="B10" s="4">
        <v>43571</v>
      </c>
      <c r="C10" s="4">
        <v>43573</v>
      </c>
    </row>
    <row r="11" spans="1:3" ht="21.75" customHeight="1">
      <c r="A11" s="3" t="s">
        <v>128</v>
      </c>
      <c r="B11" s="4">
        <v>43573</v>
      </c>
      <c r="C11" s="4">
        <v>43573</v>
      </c>
    </row>
    <row r="12" spans="1:3" ht="21.75" customHeight="1">
      <c r="A12" s="3" t="s">
        <v>51</v>
      </c>
      <c r="B12" s="4">
        <v>43634</v>
      </c>
      <c r="C12" s="4">
        <v>43518</v>
      </c>
    </row>
    <row r="13" spans="1:3" ht="21.75" customHeight="1">
      <c r="A13" s="3" t="s">
        <v>130</v>
      </c>
      <c r="B13" s="4">
        <v>43747</v>
      </c>
      <c r="C13" s="4">
        <v>43521</v>
      </c>
    </row>
    <row r="14" spans="1:3" ht="21.75" customHeight="1">
      <c r="A14" s="3" t="s">
        <v>124</v>
      </c>
      <c r="B14" s="4">
        <v>43571</v>
      </c>
      <c r="C14" s="4">
        <v>43571</v>
      </c>
    </row>
    <row r="15" spans="1:3" ht="21.75" customHeight="1">
      <c r="A15" s="1" t="s">
        <v>155</v>
      </c>
      <c r="C15" s="2">
        <v>43573</v>
      </c>
    </row>
    <row r="16" spans="1:3" ht="21.75" customHeight="1">
      <c r="A16" s="3" t="s">
        <v>74</v>
      </c>
      <c r="C16" s="2">
        <v>43573</v>
      </c>
    </row>
    <row r="17" spans="1:3" ht="21.75" customHeight="1">
      <c r="A17" s="1" t="s">
        <v>123</v>
      </c>
      <c r="B17" s="4">
        <v>43573</v>
      </c>
      <c r="C17" s="2">
        <v>43578</v>
      </c>
    </row>
    <row r="18" spans="1:3" ht="21.75" customHeight="1">
      <c r="A18" s="1" t="s">
        <v>152</v>
      </c>
      <c r="C18" s="2">
        <v>43578</v>
      </c>
    </row>
    <row r="19" spans="1:3" ht="21.75" customHeight="1">
      <c r="A19" s="1" t="s">
        <v>78</v>
      </c>
      <c r="C19" s="2">
        <v>43580</v>
      </c>
    </row>
    <row r="20" spans="1:3" ht="21.75" customHeight="1">
      <c r="A20" s="1" t="s">
        <v>89</v>
      </c>
      <c r="C20" s="2">
        <v>43580</v>
      </c>
    </row>
    <row r="21" spans="1:3" ht="21.75" customHeight="1">
      <c r="A21" s="3" t="s">
        <v>100</v>
      </c>
      <c r="C21" s="2">
        <v>43605</v>
      </c>
    </row>
    <row r="22" spans="1:3" ht="21.75" customHeight="1">
      <c r="A22" s="1" t="s">
        <v>83</v>
      </c>
      <c r="C22" s="2">
        <v>43605</v>
      </c>
    </row>
    <row r="23" spans="1:3" ht="21.75" customHeight="1">
      <c r="A23" s="1" t="s">
        <v>157</v>
      </c>
      <c r="C23" s="2">
        <v>43605</v>
      </c>
    </row>
    <row r="24" spans="1:3" ht="21.75" customHeight="1">
      <c r="A24" s="1" t="s">
        <v>37</v>
      </c>
      <c r="C24" s="2">
        <v>43621</v>
      </c>
    </row>
    <row r="25" spans="1:3" ht="21.75" customHeight="1">
      <c r="A25" s="1" t="s">
        <v>168</v>
      </c>
      <c r="C25" s="2">
        <v>43621</v>
      </c>
    </row>
    <row r="26" spans="1:3" ht="21.75" customHeight="1">
      <c r="A26" s="3" t="s">
        <v>137</v>
      </c>
      <c r="C26" s="2">
        <v>43621</v>
      </c>
    </row>
    <row r="27" spans="1:3" ht="21.75" customHeight="1">
      <c r="A27" s="1" t="s">
        <v>136</v>
      </c>
      <c r="C27" s="2">
        <v>43621</v>
      </c>
    </row>
    <row r="28" spans="1:3" ht="21.75" customHeight="1">
      <c r="A28" s="1" t="s">
        <v>149</v>
      </c>
      <c r="C28" s="2">
        <v>43628</v>
      </c>
    </row>
    <row r="29" spans="1:3" ht="21.75" customHeight="1">
      <c r="A29" s="1" t="s">
        <v>148</v>
      </c>
      <c r="C29" s="2">
        <v>43629</v>
      </c>
    </row>
    <row r="30" spans="1:3" ht="21.75" customHeight="1">
      <c r="A30" s="1" t="s">
        <v>172</v>
      </c>
      <c r="C30" s="2">
        <v>43650</v>
      </c>
    </row>
    <row r="31" spans="1:3" ht="21.75" customHeight="1">
      <c r="A31" s="1" t="s">
        <v>141</v>
      </c>
      <c r="C31" s="2">
        <v>43669</v>
      </c>
    </row>
    <row r="32" spans="1:3" ht="21.75" customHeight="1">
      <c r="A32" s="1" t="s">
        <v>156</v>
      </c>
      <c r="C32" s="2">
        <v>43668</v>
      </c>
    </row>
    <row r="33" spans="1:3" ht="21.75" customHeight="1">
      <c r="A33" s="1" t="s">
        <v>161</v>
      </c>
      <c r="C33" s="2">
        <v>43668</v>
      </c>
    </row>
    <row r="34" spans="1:3" ht="21.75" customHeight="1">
      <c r="A34" s="3" t="s">
        <v>129</v>
      </c>
      <c r="C34" s="2">
        <v>43677</v>
      </c>
    </row>
    <row r="35" spans="1:3" ht="21.75" customHeight="1">
      <c r="A35" s="1" t="s">
        <v>108</v>
      </c>
      <c r="C35" s="2">
        <v>43677</v>
      </c>
    </row>
    <row r="36" spans="1:3" ht="21.75" customHeight="1">
      <c r="A36" s="3" t="s">
        <v>113</v>
      </c>
      <c r="C36" s="2">
        <v>43678</v>
      </c>
    </row>
    <row r="37" spans="1:3" ht="21.75" customHeight="1">
      <c r="A37" s="1" t="s">
        <v>77</v>
      </c>
      <c r="C37" s="2">
        <v>43679</v>
      </c>
    </row>
    <row r="38" spans="1:3" ht="21.75" customHeight="1">
      <c r="A38" s="1" t="s">
        <v>117</v>
      </c>
      <c r="C38" s="2">
        <v>43699</v>
      </c>
    </row>
    <row r="39" spans="1:3" ht="21.75" customHeight="1">
      <c r="A39" s="1" t="s">
        <v>31</v>
      </c>
      <c r="C39" s="2">
        <v>43699</v>
      </c>
    </row>
    <row r="40" spans="1:3" ht="21.75" customHeight="1">
      <c r="A40" s="1" t="s">
        <v>25</v>
      </c>
      <c r="C40" s="2">
        <v>43704</v>
      </c>
    </row>
    <row r="41" spans="1:3" ht="21.75" customHeight="1">
      <c r="A41" s="1" t="s">
        <v>138</v>
      </c>
      <c r="C41" s="2">
        <v>43707</v>
      </c>
    </row>
    <row r="42" spans="1:3" ht="21.75" customHeight="1">
      <c r="A42" s="1" t="s">
        <v>81</v>
      </c>
      <c r="C42" s="2">
        <v>43710</v>
      </c>
    </row>
    <row r="43" spans="1:3" ht="21.75" customHeight="1">
      <c r="A43" s="1" t="s">
        <v>121</v>
      </c>
      <c r="C43" s="2">
        <v>43711</v>
      </c>
    </row>
    <row r="44" spans="1:3" ht="21.75" customHeight="1">
      <c r="A44" s="3" t="s">
        <v>27</v>
      </c>
      <c r="C44" s="2">
        <v>43711</v>
      </c>
    </row>
    <row r="45" spans="1:3" ht="21.75" customHeight="1">
      <c r="A45" s="1" t="s">
        <v>28</v>
      </c>
      <c r="C45" s="2">
        <v>43720</v>
      </c>
    </row>
    <row r="46" spans="1:3" ht="21.75" customHeight="1">
      <c r="A46" s="1" t="s">
        <v>103</v>
      </c>
      <c r="C46" s="2">
        <v>43720</v>
      </c>
    </row>
    <row r="47" spans="1:3" ht="21.75" customHeight="1">
      <c r="A47" s="1" t="s">
        <v>91</v>
      </c>
      <c r="C47" s="2">
        <v>43732</v>
      </c>
    </row>
    <row r="48" spans="1:3" ht="21.75" customHeight="1">
      <c r="A48" s="1" t="s">
        <v>118</v>
      </c>
      <c r="C48" s="2">
        <v>43732</v>
      </c>
    </row>
    <row r="49" spans="1:3" ht="21.75" customHeight="1">
      <c r="A49" s="1" t="s">
        <v>166</v>
      </c>
      <c r="C49" s="2">
        <v>43732</v>
      </c>
    </row>
    <row r="50" spans="1:3" ht="21.75" customHeight="1">
      <c r="A50" s="1" t="s">
        <v>144</v>
      </c>
      <c r="C50" s="2">
        <v>43740</v>
      </c>
    </row>
    <row r="51" spans="1:3" ht="21.75" customHeight="1">
      <c r="A51" s="1" t="s">
        <v>142</v>
      </c>
      <c r="C51" s="2">
        <v>43742</v>
      </c>
    </row>
    <row r="52" spans="1:3" ht="21.75" customHeight="1">
      <c r="A52" s="1" t="s">
        <v>84</v>
      </c>
      <c r="C52" s="2">
        <v>43756</v>
      </c>
    </row>
    <row r="53" spans="1:3" ht="21.75" customHeight="1">
      <c r="A53" s="1" t="s">
        <v>90</v>
      </c>
      <c r="C53" s="2">
        <v>43756</v>
      </c>
    </row>
    <row r="54" spans="1:3" ht="21.75" customHeight="1">
      <c r="A54" s="1" t="s">
        <v>131</v>
      </c>
      <c r="C54" s="2">
        <v>43756</v>
      </c>
    </row>
    <row r="55" spans="1:3" ht="21.75" customHeight="1">
      <c r="A55" s="1" t="s">
        <v>139</v>
      </c>
      <c r="C55" s="2">
        <v>43756</v>
      </c>
    </row>
    <row r="56" spans="1:3" ht="21.75" customHeight="1">
      <c r="A56" s="1" t="s">
        <v>52</v>
      </c>
      <c r="C56" s="2">
        <v>43761</v>
      </c>
    </row>
    <row r="57" spans="1:3" ht="21.75" customHeight="1">
      <c r="A57" s="3" t="s">
        <v>98</v>
      </c>
      <c r="C57" s="2">
        <v>43770</v>
      </c>
    </row>
    <row r="58" spans="1:3" ht="21.75" customHeight="1">
      <c r="A58" s="3" t="s">
        <v>40</v>
      </c>
      <c r="C58" s="2">
        <v>43796</v>
      </c>
    </row>
    <row r="59" spans="1:3" ht="21.75" customHeight="1">
      <c r="A59" s="3" t="s">
        <v>72</v>
      </c>
      <c r="C59" s="2">
        <v>43796</v>
      </c>
    </row>
    <row r="60" spans="1:3" ht="21.75" customHeight="1">
      <c r="A60" s="1" t="s">
        <v>159</v>
      </c>
      <c r="C60" s="2">
        <v>43796</v>
      </c>
    </row>
    <row r="61" spans="1:3" ht="21.75" customHeight="1">
      <c r="A61" s="1" t="s">
        <v>140</v>
      </c>
      <c r="C61" s="2">
        <v>43805</v>
      </c>
    </row>
    <row r="62" spans="1:3" ht="21.75" customHeight="1">
      <c r="A62" s="1" t="s">
        <v>42</v>
      </c>
      <c r="C62" s="2">
        <v>43805</v>
      </c>
    </row>
    <row r="63" spans="1:3" ht="21.75" customHeight="1">
      <c r="A63" s="1" t="s">
        <v>94</v>
      </c>
      <c r="C63" s="2">
        <v>43805</v>
      </c>
    </row>
    <row r="64" spans="1:3" ht="21.75" customHeight="1">
      <c r="A64" s="1" t="s">
        <v>38</v>
      </c>
      <c r="B64" s="2">
        <v>43815</v>
      </c>
      <c r="C64" s="2">
        <v>43805</v>
      </c>
    </row>
    <row r="65" spans="1:3" ht="21.75" customHeight="1">
      <c r="A65" s="1" t="s">
        <v>163</v>
      </c>
      <c r="C65" s="2">
        <v>43805</v>
      </c>
    </row>
    <row r="66" spans="1:3" ht="21.75" customHeight="1">
      <c r="A66" s="1" t="s">
        <v>70</v>
      </c>
      <c r="C66" s="2">
        <v>43811</v>
      </c>
    </row>
    <row r="67" spans="1:3" ht="21.75" customHeight="1">
      <c r="A67" s="1" t="s">
        <v>87</v>
      </c>
      <c r="C67" s="2">
        <v>43812</v>
      </c>
    </row>
    <row r="68" spans="1:3" ht="21.75" customHeight="1">
      <c r="A68" s="1" t="s">
        <v>158</v>
      </c>
      <c r="C68" s="2">
        <v>43825</v>
      </c>
    </row>
    <row r="69" spans="1:3" ht="21.75" customHeight="1">
      <c r="A69" s="1" t="s">
        <v>47</v>
      </c>
      <c r="C69" s="2">
        <v>43837</v>
      </c>
    </row>
    <row r="70" spans="1:3" ht="21.75" customHeight="1">
      <c r="A70" s="1" t="s">
        <v>76</v>
      </c>
      <c r="C70" s="2">
        <v>43844</v>
      </c>
    </row>
    <row r="71" spans="1:3" ht="21.75" customHeight="1">
      <c r="A71" s="1" t="s">
        <v>26</v>
      </c>
      <c r="C71" s="2">
        <v>43847</v>
      </c>
    </row>
    <row r="72" spans="1:3" ht="21.75" customHeight="1">
      <c r="A72" s="1" t="s">
        <v>104</v>
      </c>
      <c r="C72" s="2">
        <v>43850</v>
      </c>
    </row>
    <row r="73" spans="1:3" ht="21.75" customHeight="1">
      <c r="A73" s="1" t="s">
        <v>160</v>
      </c>
      <c r="C73" s="2">
        <v>43850</v>
      </c>
    </row>
    <row r="74" spans="1:3" ht="21.75" customHeight="1">
      <c r="A74" s="1" t="s">
        <v>167</v>
      </c>
      <c r="C74" s="2">
        <v>43858</v>
      </c>
    </row>
    <row r="75" spans="1:3" ht="21.75" customHeight="1">
      <c r="A75" s="1" t="s">
        <v>150</v>
      </c>
      <c r="C75" s="2">
        <v>43861</v>
      </c>
    </row>
    <row r="76" spans="1:3" ht="21.75" customHeight="1">
      <c r="A76" s="1" t="s">
        <v>73</v>
      </c>
      <c r="C76" s="2">
        <v>43861</v>
      </c>
    </row>
    <row r="77" spans="1:3" ht="21.75" customHeight="1">
      <c r="A77" s="1" t="s">
        <v>153</v>
      </c>
      <c r="C77" s="2">
        <v>43886</v>
      </c>
    </row>
    <row r="78" spans="1:3" ht="21.75" customHeight="1">
      <c r="A78" s="1" t="s">
        <v>66</v>
      </c>
      <c r="C78" s="2">
        <v>43886</v>
      </c>
    </row>
    <row r="79" spans="1:3" ht="21.75" customHeight="1">
      <c r="A79" s="1" t="s">
        <v>50</v>
      </c>
      <c r="C79" s="2">
        <v>43899</v>
      </c>
    </row>
    <row r="80" spans="1:3" ht="21.75" customHeight="1">
      <c r="A80" s="1" t="s">
        <v>169</v>
      </c>
      <c r="C80" s="2">
        <v>43899</v>
      </c>
    </row>
    <row r="81" spans="1:3" ht="21.75" customHeight="1">
      <c r="A81" s="1" t="s">
        <v>170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2020-08-22T00:50:30Z</dcterms:modified>
</cp:coreProperties>
</file>