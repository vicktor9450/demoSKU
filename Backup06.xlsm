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E68FCCDA-B3A7-A44C-84C0-F4425220232A}" xr6:coauthVersionLast="45" xr6:coauthVersionMax="45" xr10:uidLastSave="{00000000-0000-0000-0000-000000000000}"/>
  <bookViews>
    <workbookView xWindow="7960" yWindow="1560" windowWidth="34220" windowHeight="23520" xr2:uid="{00000000-000D-0000-FFFF-FFFF00000000}"/>
  </bookViews>
  <sheets>
    <sheet name="PaperSummary" sheetId="277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Paper!$A$5:$J$140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I3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<sst xmlns="http://schemas.openxmlformats.org/spreadsheetml/2006/main" count="927" uniqueCount="320">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</sst>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0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8" fillId="0" borderId="0" xfId="0" applyFont="1"/>
    <xf numFmtId="49" fontId="14" fillId="0" borderId="15" xfId="0" applyNumberFormat="1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4" fillId="0" borderId="16" xfId="0" applyFont="1" applyBorder="1" applyAlignment="1">
      <alignment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03.885372569443" createdVersion="3" refreshedVersion="6" minRefreshableVersion="3" recordCount="134" xr:uid="{A1DBCC8A-E9A0-4B40-826E-C50B73773F17}">
  <cacheSource type="worksheet">
    <worksheetSource ref="A5:K139" sheet="Paper"/>
  </cacheSource>
  <cacheFields count="11">
    <cacheField name="Arrival" numFmtId="49">
      <sharedItems count="5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450"/>
        <n v="250"/>
        <n v="80"/>
        <n v="550"/>
        <n v="1000"/>
        <n v="2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15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6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7"/>
    <x v="5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2"/>
    <x v="3"/>
    <x v="0"/>
    <x v="8"/>
  </r>
  <r>
    <x v="50"/>
    <x v="0"/>
    <x v="6"/>
    <x v="1"/>
    <x v="0"/>
    <x v="0"/>
    <x v="0"/>
    <x v="7"/>
    <x v="5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1"/>
    <x v="1"/>
    <x v="0"/>
    <x v="8"/>
  </r>
  <r>
    <x v="51"/>
    <x v="0"/>
    <x v="8"/>
    <x v="1"/>
    <x v="0"/>
    <x v="0"/>
    <x v="0"/>
    <x v="1"/>
    <x v="1"/>
    <x v="0"/>
    <x v="12"/>
  </r>
  <r>
    <x v="51"/>
    <x v="0"/>
    <x v="7"/>
    <x v="1"/>
    <x v="0"/>
    <x v="0"/>
    <x v="0"/>
    <x v="1"/>
    <x v="1"/>
    <x v="0"/>
    <x v="8"/>
  </r>
  <r>
    <x v="51"/>
    <x v="2"/>
    <x v="10"/>
    <x v="1"/>
    <x v="0"/>
    <x v="0"/>
    <x v="0"/>
    <x v="18"/>
    <x v="11"/>
    <x v="0"/>
    <x v="35"/>
  </r>
  <r>
    <x v="51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5AF83-FD11-4C47-AF2F-CA0AD32FDFAD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2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8"/>
        <item x="14"/>
        <item x="7"/>
        <item x="11"/>
        <item x="2"/>
        <item x="13"/>
        <item x="8"/>
        <item x="3"/>
        <item x="16"/>
        <item x="4"/>
        <item x="9"/>
        <item x="10"/>
        <item x="0"/>
        <item x="17"/>
        <item x="1"/>
      </items>
    </pivotField>
    <pivotField dataField="1" showAll="0" defaultSubtotal="0">
      <items count="20">
        <item x="0"/>
        <item x="12"/>
        <item x="7"/>
        <item x="6"/>
        <item x="19"/>
        <item x="10"/>
        <item x="13"/>
        <item x="4"/>
        <item x="9"/>
        <item x="8"/>
        <item x="15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6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15">
      <pivotArea type="all" dataOnly="0" outline="0" fieldPosition="0"/>
    </format>
    <format dxfId="14">
      <pivotArea type="all" dataOnly="0" outline="0" fieldPosition="0"/>
    </format>
    <format dxfId="13">
      <pivotArea type="all" dataOnly="0" outline="0" fieldPosition="0"/>
    </format>
    <format dxfId="12">
      <pivotArea type="all" dataOnly="0" outline="0" fieldPosition="0"/>
    </format>
    <format dxfId="11">
      <pivotArea type="all" dataOnly="0" outline="0" fieldPosition="0"/>
    </format>
    <format dxfId="1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0" headerRowDxfId="39" dataDxfId="38" totalsRowDxfId="37">
  <autoFilter ref="A5:K14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9" totalsRowDxfId="36"/>
    <tableColumn id="2" xr3:uid="{00000000-0010-0000-0000-000002000000}" name="Specs" dataDxfId="8" totalsRowDxfId="35"/>
    <tableColumn id="3" xr3:uid="{00000000-0010-0000-0000-000003000000}" name="Width" dataDxfId="7" totalsRowDxfId="34"/>
    <tableColumn id="9" xr3:uid="{00000000-0010-0000-0000-000009000000}" name="Slitting" dataDxfId="6" totalsRowDxfId="33"/>
    <tableColumn id="4" xr3:uid="{00000000-0010-0000-0000-000004000000}" name="Length" dataDxfId="5" totalsRowDxfId="32"/>
    <tableColumn id="5" xr3:uid="{00000000-0010-0000-0000-000005000000}" name="Roll" dataDxfId="4" totalsRowDxfId="31"/>
    <tableColumn id="6" xr3:uid="{00000000-0010-0000-0000-000006000000}" name="Total" dataDxfId="3" totalsRowDxfId="30">
      <calculatedColumnFormula>F6*E6</calculatedColumnFormula>
    </tableColumn>
    <tableColumn id="7" xr3:uid="{00000000-0010-0000-0000-000007000000}" name="Used" dataDxfId="2" totalsRowDxfId="29"/>
    <tableColumn id="8" xr3:uid="{00000000-0010-0000-0000-000008000000}" name="Remaining" dataDxfId="1" totalsRowDxfId="28">
      <calculatedColumnFormula>G6-H6</calculatedColumnFormula>
    </tableColumn>
    <tableColumn id="10" xr3:uid="{00000000-0010-0000-0000-00000A000000}" name="Lining" dataDxfId="0" totalsRowDxfId="27"/>
    <tableColumn id="11" xr3:uid="{00000000-0010-0000-0000-00000B000000}" name="Index" totalsRowFunction="count" dataDxfId="2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5" dataDxfId="2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3"/>
    <tableColumn id="2" xr3:uid="{00000000-0010-0000-0100-000002000000}" name="LINE" dataDxfId="22"/>
    <tableColumn id="3" xr3:uid="{00000000-0010-0000-0100-000003000000}" name="Order Code" dataDxfId="21"/>
    <tableColumn id="4" xr3:uid="{00000000-0010-0000-0100-000004000000}" name="NAME" dataDxfId="20"/>
    <tableColumn id="7" xr3:uid="{00000000-0010-0000-0100-000007000000}" name="REMAINING" dataDxfId="19"/>
    <tableColumn id="6" xr3:uid="{00000000-0010-0000-0100-000006000000}" name="IMPORT DATE" dataDxfId="18"/>
    <tableColumn id="8" xr3:uid="{00000000-0010-0000-0100-000008000000}" name="COLOR STD" dataDxfId="17"/>
    <tableColumn id="9" xr3:uid="{00000000-0010-0000-0100-000009000000}" name="Index" dataDxfId="1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6769C-8D65-9740-889B-D184FBAD22B7}">
  <dimension ref="B1:Y18"/>
  <sheetViews>
    <sheetView tabSelected="1" zoomScale="119" zoomScaleNormal="204" workbookViewId="0">
      <pane xSplit="2" ySplit="4" topLeftCell="E5" activePane="bottomRight" state="frozen"/>
      <selection pane="topRight" activeCell="C1" sqref="C1"/>
      <selection pane="bottomLeft" activeCell="A5" sqref="A5"/>
      <selection pane="bottomRight" activeCell="N17" sqref="N17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2:25">
      <c r="B3" s="49"/>
      <c r="C3" s="48">
        <v>40</v>
      </c>
      <c r="D3" s="48">
        <v>90</v>
      </c>
      <c r="E3" s="48">
        <v>100</v>
      </c>
      <c r="F3" s="48">
        <v>115</v>
      </c>
      <c r="G3" s="48">
        <v>120</v>
      </c>
      <c r="H3" s="50">
        <v>125</v>
      </c>
      <c r="I3" s="51"/>
      <c r="J3" s="48">
        <v>130</v>
      </c>
      <c r="K3" s="48">
        <v>135</v>
      </c>
      <c r="L3" s="48">
        <v>140</v>
      </c>
      <c r="M3" s="48">
        <v>150</v>
      </c>
      <c r="N3" s="50">
        <v>155</v>
      </c>
      <c r="O3" s="51"/>
      <c r="P3" s="48">
        <v>160</v>
      </c>
      <c r="Q3" s="48">
        <v>165</v>
      </c>
      <c r="R3" s="48">
        <v>175</v>
      </c>
      <c r="S3" s="50">
        <v>185</v>
      </c>
      <c r="T3" s="51"/>
      <c r="U3" s="50">
        <v>205</v>
      </c>
      <c r="V3" s="51"/>
      <c r="W3" s="48">
        <v>210</v>
      </c>
      <c r="X3" s="48">
        <v>215</v>
      </c>
      <c r="Y3" s="48">
        <v>220</v>
      </c>
    </row>
    <row r="4" spans="2:25">
      <c r="B4" s="7" t="s">
        <v>0</v>
      </c>
      <c r="C4" s="48" t="s">
        <v>257</v>
      </c>
      <c r="D4" s="48" t="s">
        <v>257</v>
      </c>
      <c r="E4" s="48" t="s">
        <v>257</v>
      </c>
      <c r="F4" s="48" t="s">
        <v>257</v>
      </c>
      <c r="G4" s="48" t="s">
        <v>257</v>
      </c>
      <c r="H4" s="48" t="s">
        <v>265</v>
      </c>
      <c r="I4" s="48" t="s">
        <v>257</v>
      </c>
      <c r="J4" s="48" t="s">
        <v>257</v>
      </c>
      <c r="K4" s="48" t="s">
        <v>257</v>
      </c>
      <c r="L4" s="48" t="s">
        <v>257</v>
      </c>
      <c r="M4" s="48" t="s">
        <v>257</v>
      </c>
      <c r="N4" s="48" t="s">
        <v>265</v>
      </c>
      <c r="O4" s="48" t="s">
        <v>257</v>
      </c>
      <c r="P4" s="48" t="s">
        <v>257</v>
      </c>
      <c r="Q4" s="48" t="s">
        <v>257</v>
      </c>
      <c r="R4" s="48" t="s">
        <v>257</v>
      </c>
      <c r="S4" s="48" t="s">
        <v>265</v>
      </c>
      <c r="T4" s="48" t="s">
        <v>257</v>
      </c>
      <c r="U4" s="48" t="s">
        <v>265</v>
      </c>
      <c r="V4" s="48" t="s">
        <v>257</v>
      </c>
      <c r="W4" s="48" t="s">
        <v>257</v>
      </c>
      <c r="X4" s="48" t="s">
        <v>257</v>
      </c>
      <c r="Y4" s="48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304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900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290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305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900</v>
      </c>
      <c r="J17" s="6"/>
      <c r="K17" s="6"/>
      <c r="L17" s="6">
        <v>900</v>
      </c>
      <c r="M17" s="6"/>
      <c r="N17" s="6">
        <v>1200</v>
      </c>
      <c r="O17" s="6">
        <v>0</v>
      </c>
      <c r="P17" s="6"/>
      <c r="Q17" s="6">
        <v>2000</v>
      </c>
      <c r="R17" s="6"/>
      <c r="S17" s="6">
        <v>150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0"/>
  <sheetViews>
    <sheetView zoomScale="180" zoomScaleNormal="107" workbookViewId="0">
      <pane ySplit="5" topLeftCell="A6" activePane="bottomLeft" state="frozen"/>
      <selection pane="bottomLeft" activeCell="F14" sqref="F1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8"/>
      <c r="N1" s="28"/>
      <c r="O1" s="28"/>
      <c r="P1" s="28"/>
    </row>
    <row r="2" spans="1:19" ht="22">
      <c r="A2" s="10"/>
      <c r="B2" s="38" t="s">
        <v>254</v>
      </c>
      <c r="I2" s="54" t="s">
        <v>235</v>
      </c>
      <c r="J2" s="55"/>
      <c r="M2" s="28"/>
      <c r="N2" s="28"/>
      <c r="O2" s="28"/>
      <c r="P2" s="28"/>
    </row>
    <row r="3" spans="1:19" ht="23" thickBot="1">
      <c r="I3" s="52">
        <f>LastSavedTimeStamp()</f>
        <v>44203.885324074072</v>
      </c>
      <c r="J3" s="53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253</v>
      </c>
      <c r="C6" s="17">
        <v>185</v>
      </c>
      <c r="D6" s="17" t="s">
        <v>265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253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253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253</v>
      </c>
      <c r="C9" s="17">
        <v>185</v>
      </c>
      <c r="D9" s="17" t="s">
        <v>265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258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253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253</v>
      </c>
      <c r="C12" s="17">
        <v>155</v>
      </c>
      <c r="D12" s="17" t="s">
        <v>265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253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253</v>
      </c>
      <c r="C15" s="17">
        <v>125</v>
      </c>
      <c r="D15" s="17" t="s">
        <v>265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253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253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253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253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258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253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253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253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253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258</v>
      </c>
      <c r="C26" s="17">
        <v>125</v>
      </c>
      <c r="D26" s="17" t="s">
        <v>265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253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265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253</v>
      </c>
      <c r="C29" s="17">
        <v>125</v>
      </c>
      <c r="D29" s="17" t="s">
        <v>265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253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259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265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253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260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253</v>
      </c>
      <c r="C54" s="17">
        <v>125</v>
      </c>
      <c r="D54" s="17" t="s">
        <v>265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261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253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58" t="s">
        <v>253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253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8" t="s">
        <v>253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8" t="s">
        <v>253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263</v>
      </c>
      <c r="B66" s="18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263</v>
      </c>
      <c r="B67" s="18" t="s">
        <v>253</v>
      </c>
      <c r="C67" s="17">
        <v>185</v>
      </c>
      <c r="D67" s="17" t="s">
        <v>265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253</v>
      </c>
      <c r="C68" s="17">
        <v>155</v>
      </c>
      <c r="D68" s="17" t="s">
        <v>265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266</v>
      </c>
      <c r="B69" s="18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266</v>
      </c>
      <c r="B70" s="18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268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267</v>
      </c>
      <c r="B73" s="18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267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267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270</v>
      </c>
      <c r="B76" s="18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270</v>
      </c>
      <c r="B77" s="18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270</v>
      </c>
      <c r="B78" s="18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272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274</v>
      </c>
      <c r="B81" s="18" t="s">
        <v>275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274</v>
      </c>
      <c r="B82" s="18" t="s">
        <v>275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273</v>
      </c>
      <c r="B83" s="41" t="s">
        <v>253</v>
      </c>
      <c r="C83" s="59">
        <v>165</v>
      </c>
      <c r="D83" s="59"/>
      <c r="E83" s="59">
        <v>600</v>
      </c>
      <c r="F83" s="59">
        <v>1</v>
      </c>
      <c r="G83" s="17">
        <f t="shared" si="7"/>
        <v>600</v>
      </c>
      <c r="H83" s="5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273</v>
      </c>
      <c r="B84" s="41" t="s">
        <v>253</v>
      </c>
      <c r="C84" s="59">
        <v>140</v>
      </c>
      <c r="D84" s="59"/>
      <c r="E84" s="59">
        <v>600</v>
      </c>
      <c r="F84" s="59">
        <v>1</v>
      </c>
      <c r="G84" s="17">
        <f t="shared" si="7"/>
        <v>600</v>
      </c>
      <c r="H84" s="5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276</v>
      </c>
      <c r="B85" s="18" t="s">
        <v>277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278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280</v>
      </c>
      <c r="B87" s="18" t="s">
        <v>281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280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282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283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284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284</v>
      </c>
      <c r="B92" s="17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283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286</v>
      </c>
      <c r="B94" s="18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286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286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300</v>
      </c>
      <c r="I96" s="17">
        <f t="shared" si="12"/>
        <v>300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286</v>
      </c>
      <c r="B97" s="18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286</v>
      </c>
      <c r="B98" s="18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286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287</v>
      </c>
      <c r="B100" s="18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287</v>
      </c>
      <c r="B101" s="18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288</v>
      </c>
      <c r="B102" s="18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288</v>
      </c>
      <c r="B103" s="16" t="s">
        <v>253</v>
      </c>
      <c r="C103" s="17">
        <v>185</v>
      </c>
      <c r="D103" s="17" t="s">
        <v>265</v>
      </c>
      <c r="E103" s="17">
        <v>600</v>
      </c>
      <c r="F103" s="17">
        <v>1</v>
      </c>
      <c r="G103" s="17">
        <f t="shared" si="13"/>
        <v>600</v>
      </c>
      <c r="H103" s="17">
        <v>450</v>
      </c>
      <c r="I103" s="17">
        <f t="shared" si="14"/>
        <v>150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288</v>
      </c>
      <c r="B104" s="18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289</v>
      </c>
      <c r="B105" s="16" t="s">
        <v>290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291</v>
      </c>
      <c r="B106" s="16" t="s">
        <v>290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291</v>
      </c>
      <c r="B107" s="16" t="s">
        <v>290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291</v>
      </c>
      <c r="B108" s="16" t="s">
        <v>290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291</v>
      </c>
      <c r="B109" s="16" t="s">
        <v>290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293</v>
      </c>
      <c r="B110" s="16" t="s">
        <v>294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293</v>
      </c>
      <c r="B111" s="16" t="s">
        <v>294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296</v>
      </c>
      <c r="B112" s="18" t="s">
        <v>253</v>
      </c>
      <c r="C112" s="17">
        <v>185</v>
      </c>
      <c r="D112" s="17" t="s">
        <v>265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297</v>
      </c>
      <c r="B113" s="18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297</v>
      </c>
      <c r="B114" s="18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297</v>
      </c>
      <c r="B115" s="18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297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298</v>
      </c>
      <c r="B117" s="18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298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298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299</v>
      </c>
      <c r="B120" s="18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299</v>
      </c>
      <c r="B121" s="17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299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300</v>
      </c>
      <c r="B123" s="18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300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301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302</v>
      </c>
      <c r="B126" s="17" t="s">
        <v>304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303</v>
      </c>
      <c r="B127" s="18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303</v>
      </c>
      <c r="B128" s="16" t="s">
        <v>305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306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307</v>
      </c>
      <c r="B130" s="16" t="s">
        <v>253</v>
      </c>
      <c r="C130" s="17">
        <v>155</v>
      </c>
      <c r="D130" s="17" t="s">
        <v>265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308</v>
      </c>
      <c r="B131" s="18" t="s">
        <v>253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308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400</v>
      </c>
      <c r="I132" s="17">
        <f t="shared" si="22"/>
        <v>200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317</v>
      </c>
      <c r="B133" s="16" t="s">
        <v>253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300</v>
      </c>
      <c r="I133" s="17">
        <f t="shared" si="22"/>
        <v>300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318</v>
      </c>
      <c r="B134" s="16" t="s">
        <v>253</v>
      </c>
      <c r="C134" s="17">
        <v>125</v>
      </c>
      <c r="D134" s="17"/>
      <c r="E134" s="17">
        <v>600</v>
      </c>
      <c r="F134" s="17">
        <v>1</v>
      </c>
      <c r="G134" s="17">
        <f>F134*E134</f>
        <v>600</v>
      </c>
      <c r="H134" s="17"/>
      <c r="I134" s="17">
        <f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319</v>
      </c>
    </row>
    <row r="135" spans="1:13">
      <c r="A135" s="15" t="s">
        <v>318</v>
      </c>
      <c r="B135" s="16" t="s">
        <v>253</v>
      </c>
      <c r="C135" s="17">
        <v>165</v>
      </c>
      <c r="D135" s="17"/>
      <c r="E135" s="17">
        <v>600</v>
      </c>
      <c r="F135" s="17">
        <v>1</v>
      </c>
      <c r="G135" s="17">
        <f>F135*E135</f>
        <v>600</v>
      </c>
      <c r="H135" s="17"/>
      <c r="I135" s="17">
        <f>G135-H135</f>
        <v>600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318</v>
      </c>
      <c r="B136" s="16" t="s">
        <v>253</v>
      </c>
      <c r="C136" s="17">
        <v>140</v>
      </c>
      <c r="D136" s="17"/>
      <c r="E136" s="17">
        <v>600</v>
      </c>
      <c r="F136" s="17">
        <v>1</v>
      </c>
      <c r="G136" s="17">
        <f>F136*E136</f>
        <v>600</v>
      </c>
      <c r="H136" s="17"/>
      <c r="I136" s="17">
        <f>G136-H136</f>
        <v>600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318</v>
      </c>
      <c r="B137" s="16" t="s">
        <v>253</v>
      </c>
      <c r="C137" s="17">
        <v>165</v>
      </c>
      <c r="D137" s="17"/>
      <c r="E137" s="17">
        <v>600</v>
      </c>
      <c r="F137" s="17">
        <v>1</v>
      </c>
      <c r="G137" s="17">
        <f>F137*E137</f>
        <v>600</v>
      </c>
      <c r="H137" s="17"/>
      <c r="I137" s="17">
        <f>G137-H137</f>
        <v>600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318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>F138*E138</f>
        <v>600</v>
      </c>
      <c r="H138" s="17">
        <v>200</v>
      </c>
      <c r="I138" s="17">
        <f>G138-H138</f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318</v>
      </c>
      <c r="B139" s="16" t="s">
        <v>253</v>
      </c>
      <c r="C139" s="17">
        <v>165</v>
      </c>
      <c r="D139" s="17"/>
      <c r="E139" s="17">
        <v>600</v>
      </c>
      <c r="F139" s="17">
        <v>1</v>
      </c>
      <c r="G139" s="17">
        <f>F139*E139</f>
        <v>600</v>
      </c>
      <c r="H139" s="17"/>
      <c r="I139" s="17">
        <f>G139-H139</f>
        <v>600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/>
      <c r="B140" s="16"/>
      <c r="C140" s="17"/>
      <c r="D140" s="17"/>
      <c r="E140" s="17"/>
      <c r="F140" s="17"/>
      <c r="G140" s="17">
        <f>F140*E140</f>
        <v>0</v>
      </c>
      <c r="H140" s="17"/>
      <c r="I140" s="17">
        <f>G140-H140</f>
        <v>0</v>
      </c>
      <c r="J140" s="17"/>
      <c r="K140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255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44201.337233796294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285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262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237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248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243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236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240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237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238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239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241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242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244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245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246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247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292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271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279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279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279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295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310</v>
      </c>
      <c r="B1" s="47" t="s">
        <v>311</v>
      </c>
      <c r="C1" s="47" t="s">
        <v>313</v>
      </c>
    </row>
    <row r="2" spans="1:3">
      <c r="A2" s="46">
        <v>44189</v>
      </c>
      <c r="B2" t="s">
        <v>312</v>
      </c>
      <c r="C2" t="s">
        <v>314</v>
      </c>
    </row>
    <row r="3" spans="1:3">
      <c r="A3" s="46">
        <v>44190</v>
      </c>
      <c r="B3" t="s">
        <v>312</v>
      </c>
      <c r="C3" t="s">
        <v>315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7"/>
  <sheetViews>
    <sheetView zoomScaleNormal="100" workbookViewId="0">
      <selection activeCell="B8" sqref="B8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6" t="s">
        <v>233</v>
      </c>
      <c r="B1" s="57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249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264</v>
      </c>
    </row>
    <row r="6" spans="1:2" ht="23">
      <c r="B6" s="36" t="s">
        <v>269</v>
      </c>
    </row>
    <row r="7" spans="1:2" ht="46">
      <c r="A7" s="35" t="s">
        <v>309</v>
      </c>
      <c r="B7" s="34" t="s">
        <v>316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2021-01-07T12:16:27Z</dcterms:modified>
</cp:coreProperties>
</file>