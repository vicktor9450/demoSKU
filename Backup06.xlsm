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16064543-3F02-AA46-B9B2-7E18A3833324}" xr6:coauthVersionLast="45" xr6:coauthVersionMax="45" xr10:uidLastSave="{00000000-0000-0000-0000-000000000000}"/>
  <bookViews>
    <workbookView xWindow="0" yWindow="460" windowWidth="25600" windowHeight="12960" activeTab="1" xr2:uid="{00000000-000D-0000-FFFF-FFFF00000000}"/>
  </bookViews>
  <sheets>
    <sheet name="PaperSummary" sheetId="200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Paper!$A$5:$J$87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7" i="2" l="1"/>
  <c r="I87" i="2" s="1"/>
  <c r="K87" i="2"/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<sst xmlns="http://schemas.openxmlformats.org/spreadsheetml/2006/main" count="791" uniqueCount="285">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</sst>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3.725672106484" createdVersion="3" refreshedVersion="6" minRefreshableVersion="3" recordCount="80" xr:uid="{27ABFD92-779F-4F4F-A5DF-6421F3E17415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470"/>
        <m/>
        <n v="600"/>
        <n v="570"/>
        <n v="400"/>
        <n v="180"/>
        <n v="70"/>
        <n v="580"/>
        <n v="300"/>
        <n v="480"/>
        <n v="500"/>
        <n v="585"/>
        <n v="380"/>
        <n v="590"/>
        <n v="550"/>
        <n v="560"/>
      </sharedItems>
    </cacheField>
    <cacheField name="Remaining" numFmtId="0">
      <sharedItems containsSemiMixedTypes="0" containsString="0" containsNumber="1" containsInteger="1" minValue="0" maxValue="1200" count="17">
        <n v="130"/>
        <n v="600"/>
        <n v="1200"/>
        <n v="0"/>
        <n v="30"/>
        <n v="200"/>
        <n v="3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2"/>
    <x v="3"/>
    <x v="0"/>
    <x v="12"/>
  </r>
  <r>
    <x v="12"/>
    <x v="0"/>
    <x v="6"/>
    <x v="0"/>
    <x v="0"/>
    <x v="0"/>
    <x v="0"/>
    <x v="4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5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0"/>
    <x v="0"/>
    <x v="13"/>
  </r>
  <r>
    <x v="12"/>
    <x v="0"/>
    <x v="3"/>
    <x v="1"/>
    <x v="0"/>
    <x v="0"/>
    <x v="0"/>
    <x v="7"/>
    <x v="7"/>
    <x v="0"/>
    <x v="4"/>
  </r>
  <r>
    <x v="12"/>
    <x v="2"/>
    <x v="3"/>
    <x v="1"/>
    <x v="0"/>
    <x v="0"/>
    <x v="0"/>
    <x v="2"/>
    <x v="3"/>
    <x v="1"/>
    <x v="14"/>
  </r>
  <r>
    <x v="12"/>
    <x v="0"/>
    <x v="3"/>
    <x v="1"/>
    <x v="0"/>
    <x v="0"/>
    <x v="0"/>
    <x v="8"/>
    <x v="6"/>
    <x v="1"/>
    <x v="4"/>
  </r>
  <r>
    <x v="12"/>
    <x v="2"/>
    <x v="3"/>
    <x v="1"/>
    <x v="0"/>
    <x v="0"/>
    <x v="0"/>
    <x v="2"/>
    <x v="3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8"/>
    <x v="6"/>
    <x v="1"/>
    <x v="16"/>
  </r>
  <r>
    <x v="12"/>
    <x v="1"/>
    <x v="3"/>
    <x v="1"/>
    <x v="0"/>
    <x v="0"/>
    <x v="0"/>
    <x v="7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7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5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5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2"/>
    <x v="3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4"/>
    <x v="5"/>
    <x v="0"/>
    <x v="8"/>
  </r>
  <r>
    <x v="19"/>
    <x v="0"/>
    <x v="7"/>
    <x v="1"/>
    <x v="0"/>
    <x v="0"/>
    <x v="0"/>
    <x v="2"/>
    <x v="3"/>
    <x v="0"/>
    <x v="8"/>
  </r>
  <r>
    <x v="20"/>
    <x v="0"/>
    <x v="4"/>
    <x v="1"/>
    <x v="0"/>
    <x v="0"/>
    <x v="0"/>
    <x v="2"/>
    <x v="3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14"/>
    <x v="15"/>
    <x v="0"/>
    <x v="1"/>
  </r>
  <r>
    <x v="22"/>
    <x v="2"/>
    <x v="3"/>
    <x v="1"/>
    <x v="0"/>
    <x v="0"/>
    <x v="0"/>
    <x v="4"/>
    <x v="5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8"/>
    <x v="1"/>
    <x v="0"/>
    <x v="0"/>
    <x v="0"/>
    <x v="15"/>
    <x v="16"/>
    <x v="0"/>
    <x v="12"/>
  </r>
  <r>
    <x v="27"/>
    <x v="2"/>
    <x v="3"/>
    <x v="1"/>
    <x v="0"/>
    <x v="0"/>
    <x v="0"/>
    <x v="2"/>
    <x v="3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8211A2-7D8D-5E4C-B402-D48F669C942B}" name="PaperPivotTable" cacheId="0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6"/>
        <item x="5"/>
        <item x="8"/>
        <item x="12"/>
        <item x="4"/>
        <item x="0"/>
        <item x="9"/>
        <item x="10"/>
        <item x="14"/>
        <item x="15"/>
        <item x="3"/>
        <item x="7"/>
        <item x="11"/>
        <item x="13"/>
        <item x="2"/>
        <item x="1"/>
      </items>
    </pivotField>
    <pivotField dataField="1" showAll="0" defaultSubtotal="0">
      <items count="17">
        <item x="3"/>
        <item x="14"/>
        <item x="12"/>
        <item x="7"/>
        <item x="4"/>
        <item x="16"/>
        <item x="15"/>
        <item x="10"/>
        <item x="13"/>
        <item x="8"/>
        <item x="9"/>
        <item x="0"/>
        <item x="5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7" headerRowDxfId="33" dataDxfId="32" totalsRowDxfId="31">
  <autoFilter ref="A5:K87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887A6-3987-354A-B06A-CC71B6EFC87B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2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2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</row>
    <row r="3" spans="2:23">
      <c r="B3" s="54"/>
      <c r="C3" s="53">
        <v>40</v>
      </c>
      <c r="D3" s="53">
        <v>90</v>
      </c>
      <c r="E3" s="53">
        <v>100</v>
      </c>
      <c r="F3" s="53">
        <v>115</v>
      </c>
      <c r="G3" s="53">
        <v>120</v>
      </c>
      <c r="H3" s="55">
        <v>125</v>
      </c>
      <c r="I3" s="56"/>
      <c r="J3" s="53">
        <v>130</v>
      </c>
      <c r="K3" s="53">
        <v>135</v>
      </c>
      <c r="L3" s="53">
        <v>140</v>
      </c>
      <c r="M3" s="53">
        <v>150</v>
      </c>
      <c r="N3" s="55">
        <v>155</v>
      </c>
      <c r="O3" s="56"/>
      <c r="P3" s="53">
        <v>160</v>
      </c>
      <c r="Q3" s="53">
        <v>165</v>
      </c>
      <c r="R3" s="53">
        <v>175</v>
      </c>
      <c r="S3" s="55">
        <v>185</v>
      </c>
      <c r="T3" s="56"/>
      <c r="U3" s="55">
        <v>205</v>
      </c>
      <c r="V3" s="56"/>
      <c r="W3" s="53">
        <v>215</v>
      </c>
    </row>
    <row r="4" spans="2:23" ht="23">
      <c r="B4" s="7" t="s">
        <v>0</v>
      </c>
      <c r="C4" s="53" t="s">
        <v>258</v>
      </c>
      <c r="D4" s="53" t="s">
        <v>258</v>
      </c>
      <c r="E4" s="53" t="s">
        <v>258</v>
      </c>
      <c r="F4" s="53" t="s">
        <v>258</v>
      </c>
      <c r="G4" s="53" t="s">
        <v>258</v>
      </c>
      <c r="H4" s="53" t="s">
        <v>268</v>
      </c>
      <c r="I4" s="53" t="s">
        <v>258</v>
      </c>
      <c r="J4" s="53" t="s">
        <v>258</v>
      </c>
      <c r="K4" s="53" t="s">
        <v>258</v>
      </c>
      <c r="L4" s="53" t="s">
        <v>258</v>
      </c>
      <c r="M4" s="53" t="s">
        <v>258</v>
      </c>
      <c r="N4" s="53" t="s">
        <v>268</v>
      </c>
      <c r="O4" s="53" t="s">
        <v>258</v>
      </c>
      <c r="P4" s="53" t="s">
        <v>258</v>
      </c>
      <c r="Q4" s="53" t="s">
        <v>258</v>
      </c>
      <c r="R4" s="53" t="s">
        <v>258</v>
      </c>
      <c r="S4" s="53" t="s">
        <v>268</v>
      </c>
      <c r="T4" s="53" t="s">
        <v>258</v>
      </c>
      <c r="U4" s="53" t="s">
        <v>268</v>
      </c>
      <c r="V4" s="53" t="s">
        <v>258</v>
      </c>
      <c r="W4" s="53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1400</v>
      </c>
      <c r="I14" s="6">
        <v>630</v>
      </c>
      <c r="J14" s="6"/>
      <c r="K14" s="6"/>
      <c r="L14" s="6">
        <v>40</v>
      </c>
      <c r="M14" s="6"/>
      <c r="N14" s="6">
        <v>700</v>
      </c>
      <c r="O14" s="6">
        <v>0</v>
      </c>
      <c r="P14" s="6"/>
      <c r="Q14" s="6">
        <v>800</v>
      </c>
      <c r="R14" s="6"/>
      <c r="S14" s="6">
        <v>730</v>
      </c>
      <c r="T14" s="6">
        <v>1850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7"/>
  <sheetViews>
    <sheetView tabSelected="1" zoomScaleNormal="100" workbookViewId="0">
      <pane ySplit="5" topLeftCell="A75" activePane="bottomLeft" state="frozen"/>
      <selection pane="bottomLeft" activeCell="B86" sqref="B86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44103.725416666668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1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6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>
        <v>400</v>
      </c>
      <c r="I28" s="17">
        <f t="shared" si="1"/>
        <v>200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6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400</v>
      </c>
      <c r="I64" s="17">
        <f t="shared" si="1"/>
        <v>200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550</v>
      </c>
      <c r="I71" s="17">
        <f t="shared" si="9"/>
        <v>50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2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 t="s">
        <v>284</v>
      </c>
      <c r="B86" s="18" t="s">
        <v>254</v>
      </c>
      <c r="C86" s="17">
        <v>140</v>
      </c>
      <c r="D86" s="17"/>
      <c r="E86" s="17">
        <v>600</v>
      </c>
      <c r="F86" s="17">
        <v>1</v>
      </c>
      <c r="G86" s="17">
        <f>F86*E86</f>
        <v>600</v>
      </c>
      <c r="H86" s="17"/>
      <c r="I86" s="17">
        <f>G86-H86</f>
        <v>600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/>
      <c r="B87" s="16"/>
      <c r="C87" s="17"/>
      <c r="D87" s="17"/>
      <c r="E87" s="17"/>
      <c r="F87" s="17"/>
      <c r="G87" s="17">
        <f>F87*E87</f>
        <v>0</v>
      </c>
      <c r="H87" s="17"/>
      <c r="I87" s="17">
        <f>G87-H87</f>
        <v>0</v>
      </c>
      <c r="J87" s="18"/>
      <c r="K87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44103.725416666668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2020-10-02T01:20:26Z</dcterms:modified>
</cp:coreProperties>
</file>