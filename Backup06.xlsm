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B4CB6B99-67C0-B240-B5B3-7896FAA4BA5B}" xr6:coauthVersionLast="45" xr6:coauthVersionMax="45" xr10:uidLastSave="{00000000-0000-0000-0000-000000000000}"/>
  <bookViews>
    <workbookView xWindow="0" yWindow="500" windowWidth="32000" windowHeight="16320" xr2:uid="{00000000-000D-0000-FFFF-FFFF00000000}"/>
  </bookViews>
  <sheets>
    <sheet name="PaperSummary" sheetId="293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Paper!$A$5:$J$143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5" r:id="rId8"/>
  </pivotCaches>
</workbook>
</file>

<file path=xl/calcChain.xml><?xml version="1.0" encoding="utf-8"?>
<calcChain xmlns="http://schemas.openxmlformats.org/spreadsheetml/2006/main">
  <c r="G143" i="2" l="1"/>
  <c r="I143" i="2"/>
  <c r="K143" i="2"/>
  <c r="F3" i="3"/>
  <c r="B1" i="293"/>
  <c r="G142" i="2" l="1"/>
  <c r="I142" i="2" s="1"/>
  <c r="K142" i="2"/>
  <c r="G141" i="2" l="1"/>
  <c r="I141" i="2" s="1"/>
  <c r="K141" i="2"/>
  <c r="G140" i="2" l="1"/>
  <c r="I140" i="2" s="1"/>
  <c r="K140" i="2"/>
  <c r="G139" i="2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 l="1"/>
  <c r="I134" i="2" s="1"/>
  <c r="K134" i="2"/>
  <c r="G20" i="2" l="1"/>
  <c r="G133" i="2" l="1"/>
  <c r="I133" i="2" s="1"/>
  <c r="K133" i="2"/>
  <c r="G132" i="2"/>
  <c r="I132" i="2" s="1"/>
  <c r="K132" i="2"/>
  <c r="G131" i="2"/>
  <c r="I131" i="2" s="1"/>
  <c r="K131" i="2"/>
  <c r="G130" i="2" l="1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<sst xmlns="http://schemas.openxmlformats.org/spreadsheetml/2006/main" count="933" uniqueCount="322">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</sst>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14.498323495369" createdVersion="3" refreshedVersion="6" minRefreshableVersion="3" recordCount="137" xr:uid="{1B5BFEF1-E039-174C-B157-0080F17A30F3}">
  <cacheSource type="worksheet">
    <worksheetSource ref="A5:K142" sheet="Paper"/>
  </cacheSource>
  <cacheFields count="11">
    <cacheField name="Arrival" numFmtId="49">
      <sharedItems count="54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19">
        <n v="600"/>
        <m/>
        <n v="400"/>
        <n v="500"/>
        <n v="570"/>
        <n v="180"/>
        <n v="70"/>
        <n v="300"/>
        <n v="480"/>
        <n v="580"/>
        <n v="585"/>
        <n v="380"/>
        <n v="10"/>
        <n v="450"/>
        <n v="250"/>
        <n v="80"/>
        <n v="550"/>
        <n v="1000"/>
        <n v="200"/>
      </sharedItems>
    </cacheField>
    <cacheField name="Remaining" numFmtId="0">
      <sharedItems containsSemiMixedTypes="0" containsString="0" containsNumber="1" containsInteger="1" minValue="0" maxValue="1200" count="20">
        <n v="0"/>
        <n v="600"/>
        <n v="1200"/>
        <n v="200"/>
        <n v="100"/>
        <n v="300"/>
        <n v="30"/>
        <n v="20"/>
        <n v="130"/>
        <n v="120"/>
        <n v="60"/>
        <n v="400"/>
        <n v="15"/>
        <n v="80"/>
        <n v="290"/>
        <n v="150"/>
        <n v="500"/>
        <n v="350"/>
        <n v="52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7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4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5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4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5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4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2"/>
    <x v="14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4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3"/>
    <x v="15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4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6"/>
    <x v="19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7"/>
    <x v="0"/>
    <x v="0"/>
    <x v="34"/>
  </r>
  <r>
    <x v="47"/>
    <x v="0"/>
    <x v="16"/>
    <x v="1"/>
    <x v="0"/>
    <x v="0"/>
    <x v="0"/>
    <x v="7"/>
    <x v="5"/>
    <x v="0"/>
    <x v="26"/>
  </r>
  <r>
    <x v="48"/>
    <x v="0"/>
    <x v="4"/>
    <x v="0"/>
    <x v="0"/>
    <x v="0"/>
    <x v="0"/>
    <x v="1"/>
    <x v="1"/>
    <x v="0"/>
    <x v="5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1"/>
    <x v="1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8"/>
    <x v="11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7"/>
    <x v="0"/>
    <x v="8"/>
    <x v="1"/>
    <x v="16"/>
    <x v="0"/>
    <x v="36"/>
  </r>
  <r>
    <x v="53"/>
    <x v="0"/>
    <x v="7"/>
    <x v="1"/>
    <x v="0"/>
    <x v="0"/>
    <x v="0"/>
    <x v="1"/>
    <x v="1"/>
    <x v="0"/>
    <x v="8"/>
  </r>
  <r>
    <x v="53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F48208-9354-464F-9F32-2AA74020FA01}" name="PaperPivotTable" cacheId="15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54">
        <item x="51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9">
        <item x="12"/>
        <item x="6"/>
        <item x="15"/>
        <item x="5"/>
        <item x="18"/>
        <item x="14"/>
        <item x="7"/>
        <item x="11"/>
        <item x="2"/>
        <item x="13"/>
        <item x="8"/>
        <item x="3"/>
        <item x="16"/>
        <item x="4"/>
        <item x="9"/>
        <item x="10"/>
        <item x="0"/>
        <item x="17"/>
        <item x="1"/>
      </items>
    </pivotField>
    <pivotField dataField="1" showAll="0" defaultSubtotal="0">
      <items count="20">
        <item x="0"/>
        <item x="12"/>
        <item x="7"/>
        <item x="6"/>
        <item x="19"/>
        <item x="10"/>
        <item x="13"/>
        <item x="4"/>
        <item x="9"/>
        <item x="8"/>
        <item x="15"/>
        <item x="3"/>
        <item x="14"/>
        <item x="5"/>
        <item x="17"/>
        <item x="11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7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43" headerRowDxfId="39" dataDxfId="38" totalsRowDxfId="37">
  <autoFilter ref="A5:K143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68A7B-B091-BC49-9592-5E5FC3481371}">
  <dimension ref="B1:Y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>
      <c r="B1" s="50">
        <f>LastSavedTimeStamp()</f>
        <v>44214.498310185183</v>
      </c>
    </row>
    <row r="2" spans="2:25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</row>
    <row r="3" spans="2:25">
      <c r="B3" s="52"/>
      <c r="C3" s="51">
        <v>40</v>
      </c>
      <c r="D3" s="51">
        <v>90</v>
      </c>
      <c r="E3" s="51">
        <v>100</v>
      </c>
      <c r="F3" s="51">
        <v>115</v>
      </c>
      <c r="G3" s="51">
        <v>120</v>
      </c>
      <c r="H3" s="53">
        <v>125</v>
      </c>
      <c r="I3" s="54"/>
      <c r="J3" s="51">
        <v>130</v>
      </c>
      <c r="K3" s="51">
        <v>135</v>
      </c>
      <c r="L3" s="51">
        <v>140</v>
      </c>
      <c r="M3" s="51">
        <v>150</v>
      </c>
      <c r="N3" s="53">
        <v>155</v>
      </c>
      <c r="O3" s="54"/>
      <c r="P3" s="51">
        <v>160</v>
      </c>
      <c r="Q3" s="51">
        <v>165</v>
      </c>
      <c r="R3" s="51">
        <v>175</v>
      </c>
      <c r="S3" s="53">
        <v>185</v>
      </c>
      <c r="T3" s="54"/>
      <c r="U3" s="53">
        <v>205</v>
      </c>
      <c r="V3" s="54"/>
      <c r="W3" s="51">
        <v>210</v>
      </c>
      <c r="X3" s="51">
        <v>215</v>
      </c>
      <c r="Y3" s="51">
        <v>220</v>
      </c>
    </row>
    <row r="4" spans="2:25">
      <c r="B4" s="7" t="s">
        <v>0</v>
      </c>
      <c r="C4" s="51" t="s">
        <v>256</v>
      </c>
      <c r="D4" s="51" t="s">
        <v>256</v>
      </c>
      <c r="E4" s="51" t="s">
        <v>256</v>
      </c>
      <c r="F4" s="51" t="s">
        <v>256</v>
      </c>
      <c r="G4" s="51" t="s">
        <v>256</v>
      </c>
      <c r="H4" s="51" t="s">
        <v>264</v>
      </c>
      <c r="I4" s="51" t="s">
        <v>256</v>
      </c>
      <c r="J4" s="51" t="s">
        <v>256</v>
      </c>
      <c r="K4" s="51" t="s">
        <v>256</v>
      </c>
      <c r="L4" s="51" t="s">
        <v>256</v>
      </c>
      <c r="M4" s="51" t="s">
        <v>256</v>
      </c>
      <c r="N4" s="51" t="s">
        <v>264</v>
      </c>
      <c r="O4" s="51" t="s">
        <v>256</v>
      </c>
      <c r="P4" s="51" t="s">
        <v>256</v>
      </c>
      <c r="Q4" s="51" t="s">
        <v>256</v>
      </c>
      <c r="R4" s="51" t="s">
        <v>256</v>
      </c>
      <c r="S4" s="51" t="s">
        <v>264</v>
      </c>
      <c r="T4" s="51" t="s">
        <v>256</v>
      </c>
      <c r="U4" s="51" t="s">
        <v>264</v>
      </c>
      <c r="V4" s="51" t="s">
        <v>256</v>
      </c>
      <c r="W4" s="51" t="s">
        <v>256</v>
      </c>
      <c r="X4" s="51" t="s">
        <v>256</v>
      </c>
      <c r="Y4" s="51" t="s">
        <v>256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257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800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259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260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258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303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>
        <v>500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600</v>
      </c>
      <c r="E13" s="6"/>
      <c r="F13" s="6"/>
      <c r="G13" s="6">
        <v>400</v>
      </c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289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304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</row>
    <row r="17" spans="2:25">
      <c r="B17" s="5" t="s">
        <v>252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600</v>
      </c>
      <c r="J17" s="6"/>
      <c r="K17" s="6"/>
      <c r="L17" s="6">
        <v>0</v>
      </c>
      <c r="M17" s="6"/>
      <c r="N17" s="6">
        <v>1200</v>
      </c>
      <c r="O17" s="6">
        <v>0</v>
      </c>
      <c r="P17" s="6"/>
      <c r="Q17" s="6">
        <v>1200</v>
      </c>
      <c r="R17" s="6"/>
      <c r="S17" s="6">
        <v>150</v>
      </c>
      <c r="T17" s="6">
        <v>600</v>
      </c>
      <c r="U17" s="6">
        <v>20</v>
      </c>
      <c r="V17" s="6">
        <v>700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43"/>
  <sheetViews>
    <sheetView zoomScale="150" zoomScaleNormal="150" workbookViewId="0">
      <pane ySplit="5" topLeftCell="A133" activePane="bottomLeft" state="frozen"/>
      <selection pane="bottomLeft" activeCell="E141" sqref="E141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/>
      <c r="B2" s="38" t="s">
        <v>253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250</v>
      </c>
      <c r="B5" s="11" t="s">
        <v>0</v>
      </c>
      <c r="C5" s="13" t="s">
        <v>197</v>
      </c>
      <c r="D5" s="13" t="s">
        <v>255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251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252</v>
      </c>
      <c r="C6" s="17">
        <v>185</v>
      </c>
      <c r="D6" s="17" t="s">
        <v>264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252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252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252</v>
      </c>
      <c r="C9" s="17">
        <v>185</v>
      </c>
      <c r="D9" s="17" t="s">
        <v>264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257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252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252</v>
      </c>
      <c r="C12" s="17">
        <v>155</v>
      </c>
      <c r="D12" s="17" t="s">
        <v>264</v>
      </c>
      <c r="E12" s="17">
        <v>600</v>
      </c>
      <c r="F12" s="17">
        <v>1</v>
      </c>
      <c r="G12" s="17">
        <f t="shared" si="0"/>
        <v>600</v>
      </c>
      <c r="H12" s="17"/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252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252</v>
      </c>
      <c r="C15" s="17">
        <v>125</v>
      </c>
      <c r="D15" s="17" t="s">
        <v>264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252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252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252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252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257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252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252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252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500</v>
      </c>
      <c r="I23" s="17">
        <f t="shared" si="1"/>
        <v>100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252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252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257</v>
      </c>
      <c r="C26" s="17">
        <v>125</v>
      </c>
      <c r="D26" s="17" t="s">
        <v>264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252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252</v>
      </c>
      <c r="C28" s="17">
        <v>125</v>
      </c>
      <c r="D28" s="17" t="s">
        <v>264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252</v>
      </c>
      <c r="C29" s="17">
        <v>125</v>
      </c>
      <c r="D29" s="17" t="s">
        <v>264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8" t="s">
        <v>252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7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7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8" t="s">
        <v>252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252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258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252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257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257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257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257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7" t="s">
        <v>228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217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252</v>
      </c>
      <c r="C48" s="17">
        <v>205</v>
      </c>
      <c r="D48" s="17" t="s">
        <v>264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219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7" t="s">
        <v>209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220</v>
      </c>
      <c r="K49" s="19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8" t="s">
        <v>252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219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7" t="s">
        <v>230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222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7" t="s">
        <v>259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222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259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219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8" t="s">
        <v>252</v>
      </c>
      <c r="C54" s="17">
        <v>125</v>
      </c>
      <c r="D54" s="17" t="s">
        <v>264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222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224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7" t="s">
        <v>230</v>
      </c>
      <c r="C56" s="17">
        <v>100</v>
      </c>
      <c r="D56" s="17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7" t="s">
        <v>222</v>
      </c>
      <c r="K56" s="19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7" t="s">
        <v>229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7" t="s">
        <v>229</v>
      </c>
      <c r="C58" s="17">
        <v>40</v>
      </c>
      <c r="D58" s="17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7"/>
      <c r="K58" s="19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8" t="s">
        <v>260</v>
      </c>
      <c r="C59" s="17">
        <v>160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8" t="s">
        <v>252</v>
      </c>
      <c r="C60" s="17">
        <v>185</v>
      </c>
      <c r="D60" s="17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48" t="s">
        <v>252</v>
      </c>
      <c r="C61" s="17">
        <v>155</v>
      </c>
      <c r="D61" s="17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8" t="s">
        <v>12</v>
      </c>
      <c r="C62" s="17">
        <v>90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18" t="s">
        <v>252</v>
      </c>
      <c r="C63" s="17">
        <v>115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8GB115</v>
      </c>
    </row>
    <row r="64" spans="1:11">
      <c r="A64" s="15" t="s">
        <v>249</v>
      </c>
      <c r="B64" s="18" t="s">
        <v>252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249</v>
      </c>
      <c r="B65" s="18" t="s">
        <v>252</v>
      </c>
      <c r="C65" s="17">
        <v>165</v>
      </c>
      <c r="D65" s="17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7"/>
      <c r="K65" s="19" t="str">
        <f>CONCATENATE(Table2[[#This Row],[Specs]],Table2[[#This Row],[Width]],Table2[[#This Row],[Slitting]])</f>
        <v>y ユポ80 MDN 8GB165</v>
      </c>
    </row>
    <row r="66" spans="1:11">
      <c r="A66" s="15" t="s">
        <v>262</v>
      </c>
      <c r="B66" s="18" t="s">
        <v>252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7" t="s">
        <v>214</v>
      </c>
      <c r="K66" s="19" t="str">
        <f>CONCATENATE(Table2[[#This Row],[Specs]],Table2[[#This Row],[Width]],Table2[[#This Row],[Slitting]])</f>
        <v>y ユポ80 MDN 8GB155</v>
      </c>
    </row>
    <row r="67" spans="1:11">
      <c r="A67" s="15" t="s">
        <v>262</v>
      </c>
      <c r="B67" s="18" t="s">
        <v>252</v>
      </c>
      <c r="C67" s="17">
        <v>185</v>
      </c>
      <c r="D67" s="17" t="s">
        <v>264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214</v>
      </c>
      <c r="K67" s="19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8" t="s">
        <v>252</v>
      </c>
      <c r="C68" s="17">
        <v>155</v>
      </c>
      <c r="D68" s="17" t="s">
        <v>264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 t="s">
        <v>214</v>
      </c>
      <c r="K68" s="19" t="str">
        <f>CONCATENATE(Table2[[#This Row],[Specs]],Table2[[#This Row],[Width]],Table2[[#This Row],[Slitting]])</f>
        <v>y ユポ80 MDN 8GB155i 一本刃</v>
      </c>
    </row>
    <row r="69" spans="1:11">
      <c r="A69" s="15" t="s">
        <v>265</v>
      </c>
      <c r="B69" s="18" t="s">
        <v>252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265</v>
      </c>
      <c r="B70" s="18" t="s">
        <v>252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8" t="s">
        <v>252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y ユポ80 MDN 8GB185</v>
      </c>
    </row>
    <row r="72" spans="1:11">
      <c r="A72" s="15" t="s">
        <v>267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7"/>
      <c r="K72" s="19" t="str">
        <f>CONCATENATE(Table2[[#This Row],[Specs]],Table2[[#This Row],[Width]],Table2[[#This Row],[Slitting]])</f>
        <v>Nキャスト&lt;73&gt;ME80E90</v>
      </c>
    </row>
    <row r="73" spans="1:11">
      <c r="A73" s="15" t="s">
        <v>266</v>
      </c>
      <c r="B73" s="18" t="s">
        <v>252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7"/>
      <c r="K73" s="19" t="str">
        <f>CONCATENATE(Table2[[#This Row],[Specs]],Table2[[#This Row],[Width]],Table2[[#This Row],[Slitting]])</f>
        <v>y ユポ80 MDN 8GB165</v>
      </c>
    </row>
    <row r="74" spans="1:11">
      <c r="A74" s="15" t="s">
        <v>266</v>
      </c>
      <c r="B74" s="17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7"/>
      <c r="K74" s="19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266</v>
      </c>
      <c r="B75" s="17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7"/>
      <c r="K75" s="19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269</v>
      </c>
      <c r="B76" s="18" t="s">
        <v>252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269</v>
      </c>
      <c r="B77" s="18" t="s">
        <v>252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269</v>
      </c>
      <c r="B78" s="18" t="s">
        <v>252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7"/>
      <c r="K78" s="19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7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7"/>
      <c r="K79" s="19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271</v>
      </c>
      <c r="B80" s="18" t="s">
        <v>252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7"/>
      <c r="K80" s="19" t="str">
        <f>CONCATENATE(Table2[[#This Row],[Specs]],Table2[[#This Row],[Width]],Table2[[#This Row],[Slitting]])</f>
        <v>y ユポ80 MDN 8GB125</v>
      </c>
    </row>
    <row r="81" spans="1:11">
      <c r="A81" s="15" t="s">
        <v>273</v>
      </c>
      <c r="B81" s="18" t="s">
        <v>274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15" t="s">
        <v>273</v>
      </c>
      <c r="B82" s="18" t="s">
        <v>274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7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272</v>
      </c>
      <c r="B83" s="41" t="s">
        <v>252</v>
      </c>
      <c r="C83" s="49">
        <v>165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8GB165</v>
      </c>
    </row>
    <row r="84" spans="1:11">
      <c r="A84" s="39" t="s">
        <v>272</v>
      </c>
      <c r="B84" s="41" t="s">
        <v>252</v>
      </c>
      <c r="C84" s="49">
        <v>140</v>
      </c>
      <c r="D84" s="49"/>
      <c r="E84" s="49">
        <v>600</v>
      </c>
      <c r="F84" s="49">
        <v>1</v>
      </c>
      <c r="G84" s="17">
        <f t="shared" si="7"/>
        <v>600</v>
      </c>
      <c r="H84" s="49">
        <v>600</v>
      </c>
      <c r="I84" s="17">
        <f t="shared" si="8"/>
        <v>0</v>
      </c>
      <c r="J84" s="40"/>
      <c r="K84" s="19" t="str">
        <f>CONCATENATE(Table2[[#This Row],[Specs]],Table2[[#This Row],[Width]],Table2[[#This Row],[Slitting]])</f>
        <v>y ユポ80 MDN 8GB140</v>
      </c>
    </row>
    <row r="85" spans="1:11">
      <c r="A85" s="15" t="s">
        <v>275</v>
      </c>
      <c r="B85" s="18" t="s">
        <v>276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7"/>
      <c r="K85" s="19" t="str">
        <f>CONCATENATE(Table2[[#This Row],[Specs]],Table2[[#This Row],[Width]],Table2[[#This Row],[Slitting]])</f>
        <v>Nキャスト&lt;73&gt;ME80E90</v>
      </c>
    </row>
    <row r="86" spans="1:11">
      <c r="A86" s="15" t="s">
        <v>277</v>
      </c>
      <c r="B86" s="18" t="s">
        <v>252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7"/>
      <c r="K86" s="19" t="str">
        <f>CONCATENATE(Table2[[#This Row],[Specs]],Table2[[#This Row],[Width]],Table2[[#This Row],[Slitting]])</f>
        <v>y ユポ80 MDN 8GB140</v>
      </c>
    </row>
    <row r="87" spans="1:11">
      <c r="A87" s="15" t="s">
        <v>279</v>
      </c>
      <c r="B87" s="18" t="s">
        <v>280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Y ユポ80 MDN 8GB165</v>
      </c>
    </row>
    <row r="88" spans="1:11">
      <c r="A88" s="15" t="s">
        <v>279</v>
      </c>
      <c r="B88" s="18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7"/>
      <c r="K88" s="19" t="str">
        <f>CONCATENATE(Table2[[#This Row],[Specs]],Table2[[#This Row],[Width]],Table2[[#This Row],[Slitting]])</f>
        <v>Nキャスト&lt;73&gt;ME80E90</v>
      </c>
    </row>
    <row r="89" spans="1:11">
      <c r="A89" s="15" t="s">
        <v>281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7"/>
      <c r="K89" s="19" t="str">
        <f>CONCATENATE(Table2[[#This Row],[Specs]],Table2[[#This Row],[Width]],Table2[[#This Row],[Slitting]])</f>
        <v>Nキャスト&lt;73&gt;ME80E140</v>
      </c>
    </row>
    <row r="90" spans="1:11">
      <c r="A90" s="15" t="s">
        <v>282</v>
      </c>
      <c r="B90" s="18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N 上質&lt;55&gt;ME 80E220</v>
      </c>
    </row>
    <row r="91" spans="1:11">
      <c r="A91" s="15" t="s">
        <v>283</v>
      </c>
      <c r="B91" s="18" t="s">
        <v>252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7"/>
      <c r="K91" s="19" t="str">
        <f>CONCATENATE(Table2[[#This Row],[Specs]],Table2[[#This Row],[Width]],Table2[[#This Row],[Slitting]])</f>
        <v>y ユポ80 MDN 8GB165</v>
      </c>
    </row>
    <row r="92" spans="1:11">
      <c r="A92" s="15" t="s">
        <v>283</v>
      </c>
      <c r="B92" s="17" t="s">
        <v>252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7"/>
      <c r="K92" s="19" t="str">
        <f>CONCATENATE(Table2[[#This Row],[Specs]],Table2[[#This Row],[Width]],Table2[[#This Row],[Slitting]])</f>
        <v>y ユポ80 MDN 8GB215</v>
      </c>
    </row>
    <row r="93" spans="1:11">
      <c r="A93" s="15" t="s">
        <v>282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7"/>
      <c r="K93" s="19" t="str">
        <f>CONCATENATE(Table2[[#This Row],[Specs]],Table2[[#This Row],[Width]],Table2[[#This Row],[Slitting]])</f>
        <v>N 上質&lt;55&gt;ME 80E220</v>
      </c>
    </row>
    <row r="94" spans="1:11">
      <c r="A94" s="15" t="s">
        <v>285</v>
      </c>
      <c r="B94" s="18" t="s">
        <v>252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7"/>
      <c r="K94" s="19" t="str">
        <f>CONCATENATE(Table2[[#This Row],[Specs]],Table2[[#This Row],[Width]],Table2[[#This Row],[Slitting]])</f>
        <v>y ユポ80 MDN 8GB155</v>
      </c>
    </row>
    <row r="95" spans="1:11">
      <c r="A95" s="15" t="s">
        <v>285</v>
      </c>
      <c r="B95" s="17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285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Nキャスト&lt;73&gt;ME80E90</v>
      </c>
    </row>
    <row r="97" spans="1:11">
      <c r="A97" s="15" t="s">
        <v>285</v>
      </c>
      <c r="B97" s="18" t="s">
        <v>252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8GB165</v>
      </c>
    </row>
    <row r="98" spans="1:11">
      <c r="A98" s="15" t="s">
        <v>285</v>
      </c>
      <c r="B98" s="18" t="s">
        <v>252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y ユポ80 MDN 8GB155</v>
      </c>
    </row>
    <row r="99" spans="1:11">
      <c r="A99" s="15" t="s">
        <v>285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Nキャスト&lt;73&gt;ME80E90</v>
      </c>
    </row>
    <row r="100" spans="1:11">
      <c r="A100" s="15" t="s">
        <v>286</v>
      </c>
      <c r="B100" s="18" t="s">
        <v>252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286</v>
      </c>
      <c r="B101" s="18" t="s">
        <v>252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287</v>
      </c>
      <c r="B102" s="18" t="s">
        <v>252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8GB165</v>
      </c>
    </row>
    <row r="103" spans="1:11">
      <c r="A103" s="15" t="s">
        <v>287</v>
      </c>
      <c r="B103" s="16" t="s">
        <v>252</v>
      </c>
      <c r="C103" s="17">
        <v>185</v>
      </c>
      <c r="D103" s="17" t="s">
        <v>264</v>
      </c>
      <c r="E103" s="17">
        <v>600</v>
      </c>
      <c r="F103" s="17">
        <v>1</v>
      </c>
      <c r="G103" s="17">
        <f t="shared" si="13"/>
        <v>600</v>
      </c>
      <c r="H103" s="17">
        <v>450</v>
      </c>
      <c r="I103" s="17">
        <f t="shared" si="14"/>
        <v>150</v>
      </c>
      <c r="J103" s="17"/>
      <c r="K103" s="19" t="str">
        <f>CONCATENATE(Table2[[#This Row],[Specs]],Table2[[#This Row],[Width]],Table2[[#This Row],[Slitting]])</f>
        <v>y ユポ80 MDN 8GB185i 一本刃</v>
      </c>
    </row>
    <row r="104" spans="1:11">
      <c r="A104" s="15" t="s">
        <v>287</v>
      </c>
      <c r="B104" s="18" t="s">
        <v>252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7"/>
      <c r="K104" s="19" t="str">
        <f>CONCATENATE(Table2[[#This Row],[Specs]],Table2[[#This Row],[Width]],Table2[[#This Row],[Slitting]])</f>
        <v>y ユポ80 MDN 8GB165</v>
      </c>
    </row>
    <row r="105" spans="1:11">
      <c r="A105" s="15" t="s">
        <v>288</v>
      </c>
      <c r="B105" s="16" t="s">
        <v>289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290</v>
      </c>
      <c r="B106" s="16" t="s">
        <v>289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290</v>
      </c>
      <c r="B107" s="16" t="s">
        <v>289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290</v>
      </c>
      <c r="B108" s="16" t="s">
        <v>289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290</v>
      </c>
      <c r="B109" s="16" t="s">
        <v>289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7"/>
      <c r="K109" s="19" t="str">
        <f>CONCATENATE(Table2[[#This Row],[Specs]],Table2[[#This Row],[Width]],Table2[[#This Row],[Slitting]])</f>
        <v>SLアートN/P91/g7B100</v>
      </c>
    </row>
    <row r="110" spans="1:11">
      <c r="A110" s="15" t="s">
        <v>292</v>
      </c>
      <c r="B110" s="16" t="s">
        <v>293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7"/>
      <c r="K110" s="19" t="str">
        <f>CONCATENATE(Table2[[#This Row],[Specs]],Table2[[#This Row],[Width]],Table2[[#This Row],[Slitting]])</f>
        <v>j 上質&lt;70&gt; ME 7GB90</v>
      </c>
    </row>
    <row r="111" spans="1:11">
      <c r="A111" s="15" t="s">
        <v>292</v>
      </c>
      <c r="B111" s="16" t="s">
        <v>293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7"/>
      <c r="K111" s="19" t="str">
        <f>CONCATENATE(Table2[[#This Row],[Specs]],Table2[[#This Row],[Width]],Table2[[#This Row],[Slitting]])</f>
        <v>j 上質&lt;70&gt; ME 7GB140</v>
      </c>
    </row>
    <row r="112" spans="1:11">
      <c r="A112" s="15" t="s">
        <v>295</v>
      </c>
      <c r="B112" s="18" t="s">
        <v>252</v>
      </c>
      <c r="C112" s="17">
        <v>185</v>
      </c>
      <c r="D112" s="17" t="s">
        <v>264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7"/>
      <c r="K112" s="19" t="str">
        <f>CONCATENATE(Table2[[#This Row],[Specs]],Table2[[#This Row],[Width]],Table2[[#This Row],[Slitting]])</f>
        <v>y ユポ80 MDN 8GB185i 一本刃</v>
      </c>
    </row>
    <row r="113" spans="1:11">
      <c r="A113" s="15" t="s">
        <v>296</v>
      </c>
      <c r="B113" s="18" t="s">
        <v>252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296</v>
      </c>
      <c r="B114" s="18" t="s">
        <v>252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y ユポ80 MDN 8GB165</v>
      </c>
    </row>
    <row r="115" spans="1:11">
      <c r="A115" s="15" t="s">
        <v>296</v>
      </c>
      <c r="B115" s="18" t="s">
        <v>260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296</v>
      </c>
      <c r="B116" s="16" t="s">
        <v>260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7"/>
      <c r="K116" s="19" t="str">
        <f>CONCATENATE(Table2[[#This Row],[Specs]],Table2[[#This Row],[Width]],Table2[[#This Row],[Slitting]])</f>
        <v>j 上質&lt;70&gt; ME 7GB160</v>
      </c>
    </row>
    <row r="117" spans="1:11">
      <c r="A117" s="15" t="s">
        <v>297</v>
      </c>
      <c r="B117" s="18" t="s">
        <v>252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297</v>
      </c>
      <c r="B118" s="18" t="s">
        <v>252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297</v>
      </c>
      <c r="B119" s="18" t="s">
        <v>252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298</v>
      </c>
      <c r="B120" s="18" t="s">
        <v>252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7"/>
      <c r="K120" s="19" t="str">
        <f>CONCATENATE(Table2[[#This Row],[Specs]],Table2[[#This Row],[Width]],Table2[[#This Row],[Slitting]])</f>
        <v>y ユポ80 MDN 8GB165</v>
      </c>
    </row>
    <row r="121" spans="1:11">
      <c r="A121" s="15" t="s">
        <v>298</v>
      </c>
      <c r="B121" s="17" t="s">
        <v>252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7"/>
      <c r="K121" s="19" t="str">
        <f>CONCATENATE(Table2[[#This Row],[Specs]],Table2[[#This Row],[Width]],Table2[[#This Row],[Slitting]])</f>
        <v>y ユポ80 MDN 8GB185</v>
      </c>
    </row>
    <row r="122" spans="1:11">
      <c r="A122" s="15" t="s">
        <v>298</v>
      </c>
      <c r="B122" s="18" t="s">
        <v>252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8GB125</v>
      </c>
    </row>
    <row r="123" spans="1:11">
      <c r="A123" s="15" t="s">
        <v>299</v>
      </c>
      <c r="B123" s="18" t="s">
        <v>252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299</v>
      </c>
      <c r="B124" s="18" t="s">
        <v>252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8GB165</v>
      </c>
    </row>
    <row r="125" spans="1:11">
      <c r="A125" s="15" t="s">
        <v>300</v>
      </c>
      <c r="B125" s="16" t="s">
        <v>252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>
        <v>600</v>
      </c>
      <c r="I125" s="17">
        <f t="shared" si="20"/>
        <v>0</v>
      </c>
      <c r="J125" s="17"/>
      <c r="K125" s="19" t="str">
        <f>CONCATENATE(Table2[[#This Row],[Specs]],Table2[[#This Row],[Width]],Table2[[#This Row],[Slitting]])</f>
        <v>y ユポ80 MDN 8GB140</v>
      </c>
    </row>
    <row r="126" spans="1:11">
      <c r="A126" s="15" t="s">
        <v>301</v>
      </c>
      <c r="B126" s="17" t="s">
        <v>303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7"/>
      <c r="K126" s="19" t="str">
        <f>CONCATENATE(Table2[[#This Row],[Specs]],Table2[[#This Row],[Width]],Table2[[#This Row],[Slitting]])</f>
        <v>N アート７３ME７GB140</v>
      </c>
    </row>
    <row r="127" spans="1:11">
      <c r="A127" s="15" t="s">
        <v>302</v>
      </c>
      <c r="B127" s="18" t="s">
        <v>252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7"/>
      <c r="K127" s="19" t="str">
        <f>CONCATENATE(Table2[[#This Row],[Specs]],Table2[[#This Row],[Width]],Table2[[#This Row],[Slitting]])</f>
        <v>y ユポ80 MDN 8GB155</v>
      </c>
    </row>
    <row r="128" spans="1:11">
      <c r="A128" s="15" t="s">
        <v>302</v>
      </c>
      <c r="B128" s="16" t="s">
        <v>304</v>
      </c>
      <c r="C128" s="17">
        <v>210</v>
      </c>
      <c r="D128" s="17"/>
      <c r="E128" s="17">
        <v>1000</v>
      </c>
      <c r="F128" s="17">
        <v>1</v>
      </c>
      <c r="G128" s="17">
        <f t="shared" ref="G128:G133" si="21">F128*E128</f>
        <v>1000</v>
      </c>
      <c r="H128" s="17">
        <v>1000</v>
      </c>
      <c r="I128" s="17">
        <f t="shared" ref="I128:I133" si="22">G128-H128</f>
        <v>0</v>
      </c>
      <c r="J128" s="17"/>
      <c r="K128" s="19" t="str">
        <f>CONCATENATE(Table2[[#This Row],[Specs]],Table2[[#This Row],[Width]],Table2[[#This Row],[Slitting]])</f>
        <v>TWF55P16U5W210</v>
      </c>
    </row>
    <row r="129" spans="1:13">
      <c r="A129" s="15" t="s">
        <v>305</v>
      </c>
      <c r="B129" s="16" t="s">
        <v>252</v>
      </c>
      <c r="C129" s="17">
        <v>115</v>
      </c>
      <c r="D129" s="17"/>
      <c r="E129" s="17">
        <v>600</v>
      </c>
      <c r="F129" s="17">
        <v>1</v>
      </c>
      <c r="G129" s="17">
        <f t="shared" si="21"/>
        <v>600</v>
      </c>
      <c r="H129" s="17">
        <v>300</v>
      </c>
      <c r="I129" s="17">
        <f t="shared" si="22"/>
        <v>300</v>
      </c>
      <c r="J129" s="17"/>
      <c r="K129" s="19" t="str">
        <f>CONCATENATE(Table2[[#This Row],[Specs]],Table2[[#This Row],[Width]],Table2[[#This Row],[Slitting]])</f>
        <v>y ユポ80 MDN 8GB115</v>
      </c>
    </row>
    <row r="130" spans="1:13">
      <c r="A130" s="15" t="s">
        <v>306</v>
      </c>
      <c r="B130" s="16" t="s">
        <v>252</v>
      </c>
      <c r="C130" s="17">
        <v>155</v>
      </c>
      <c r="D130" s="17" t="s">
        <v>264</v>
      </c>
      <c r="E130" s="17">
        <v>600</v>
      </c>
      <c r="F130" s="17">
        <v>1</v>
      </c>
      <c r="G130" s="17">
        <f t="shared" si="21"/>
        <v>600</v>
      </c>
      <c r="H130" s="17"/>
      <c r="I130" s="17">
        <f t="shared" si="22"/>
        <v>600</v>
      </c>
      <c r="J130" s="17"/>
      <c r="K130" s="19" t="str">
        <f>CONCATENATE(Table2[[#This Row],[Specs]],Table2[[#This Row],[Width]],Table2[[#This Row],[Slitting]])</f>
        <v>y ユポ80 MDN 8GB155i 一本刃</v>
      </c>
    </row>
    <row r="131" spans="1:13">
      <c r="A131" s="15" t="s">
        <v>307</v>
      </c>
      <c r="B131" s="18" t="s">
        <v>252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307</v>
      </c>
      <c r="B132" s="16" t="s">
        <v>252</v>
      </c>
      <c r="C132" s="17">
        <v>165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8GB165</v>
      </c>
    </row>
    <row r="133" spans="1:13">
      <c r="A133" s="15" t="s">
        <v>316</v>
      </c>
      <c r="B133" s="16" t="s">
        <v>252</v>
      </c>
      <c r="C133" s="17">
        <v>125</v>
      </c>
      <c r="D133" s="17"/>
      <c r="E133" s="17">
        <v>600</v>
      </c>
      <c r="F133" s="17">
        <v>1</v>
      </c>
      <c r="G133" s="17">
        <f t="shared" si="21"/>
        <v>600</v>
      </c>
      <c r="H133" s="17">
        <v>600</v>
      </c>
      <c r="I133" s="17">
        <f t="shared" si="22"/>
        <v>0</v>
      </c>
      <c r="J133" s="17"/>
      <c r="K133" s="19" t="str">
        <f>CONCATENATE(Table2[[#This Row],[Specs]],Table2[[#This Row],[Width]],Table2[[#This Row],[Slitting]])</f>
        <v>y ユポ80 MDN 8GB125</v>
      </c>
    </row>
    <row r="134" spans="1:13">
      <c r="A134" s="15" t="s">
        <v>317</v>
      </c>
      <c r="B134" s="16" t="s">
        <v>252</v>
      </c>
      <c r="C134" s="17">
        <v>125</v>
      </c>
      <c r="D134" s="17"/>
      <c r="E134" s="17">
        <v>600</v>
      </c>
      <c r="F134" s="17">
        <v>1</v>
      </c>
      <c r="G134" s="17">
        <f t="shared" ref="G134:G140" si="23">F134*E134</f>
        <v>600</v>
      </c>
      <c r="H134" s="17"/>
      <c r="I134" s="17">
        <f t="shared" ref="I134:I140" si="24">G134-H134</f>
        <v>600</v>
      </c>
      <c r="J134" s="17"/>
      <c r="K134" s="19" t="str">
        <f>CONCATENATE(Table2[[#This Row],[Specs]],Table2[[#This Row],[Width]],Table2[[#This Row],[Slitting]])</f>
        <v>y ユポ80 MDN 8GB125</v>
      </c>
      <c r="M134" s="9" t="s">
        <v>318</v>
      </c>
    </row>
    <row r="135" spans="1:13">
      <c r="A135" s="15" t="s">
        <v>317</v>
      </c>
      <c r="B135" s="16" t="s">
        <v>252</v>
      </c>
      <c r="C135" s="17">
        <v>165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8GB165</v>
      </c>
    </row>
    <row r="136" spans="1:13">
      <c r="A136" s="15" t="s">
        <v>317</v>
      </c>
      <c r="B136" s="16" t="s">
        <v>252</v>
      </c>
      <c r="C136" s="17">
        <v>140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8GB140</v>
      </c>
    </row>
    <row r="137" spans="1:13">
      <c r="A137" s="15" t="s">
        <v>317</v>
      </c>
      <c r="B137" s="16" t="s">
        <v>252</v>
      </c>
      <c r="C137" s="17">
        <v>165</v>
      </c>
      <c r="D137" s="17"/>
      <c r="E137" s="17">
        <v>600</v>
      </c>
      <c r="F137" s="17">
        <v>1</v>
      </c>
      <c r="G137" s="17">
        <f t="shared" si="23"/>
        <v>600</v>
      </c>
      <c r="H137" s="17">
        <v>600</v>
      </c>
      <c r="I137" s="17">
        <f t="shared" si="24"/>
        <v>0</v>
      </c>
      <c r="J137" s="17"/>
      <c r="K137" s="19" t="str">
        <f>CONCATENATE(Table2[[#This Row],[Specs]],Table2[[#This Row],[Width]],Table2[[#This Row],[Slitting]])</f>
        <v>y ユポ80 MDN 8GB165</v>
      </c>
    </row>
    <row r="138" spans="1:13">
      <c r="A138" s="15" t="s">
        <v>317</v>
      </c>
      <c r="B138" s="16" t="s">
        <v>12</v>
      </c>
      <c r="C138" s="17">
        <v>120</v>
      </c>
      <c r="D138" s="17"/>
      <c r="E138" s="17">
        <v>600</v>
      </c>
      <c r="F138" s="17">
        <v>1</v>
      </c>
      <c r="G138" s="17">
        <f t="shared" si="23"/>
        <v>600</v>
      </c>
      <c r="H138" s="17">
        <v>200</v>
      </c>
      <c r="I138" s="17">
        <f t="shared" si="24"/>
        <v>400</v>
      </c>
      <c r="J138" s="17"/>
      <c r="K138" s="19" t="str">
        <f>CONCATENATE(Table2[[#This Row],[Specs]],Table2[[#This Row],[Width]],Table2[[#This Row],[Slitting]])</f>
        <v>Nキャスト&lt;73&gt;ME80E120</v>
      </c>
    </row>
    <row r="139" spans="1:13">
      <c r="A139" s="15" t="s">
        <v>317</v>
      </c>
      <c r="B139" s="16" t="s">
        <v>252</v>
      </c>
      <c r="C139" s="17">
        <v>165</v>
      </c>
      <c r="D139" s="17"/>
      <c r="E139" s="17">
        <v>600</v>
      </c>
      <c r="F139" s="17">
        <v>1</v>
      </c>
      <c r="G139" s="17">
        <f t="shared" si="23"/>
        <v>600</v>
      </c>
      <c r="H139" s="17">
        <v>600</v>
      </c>
      <c r="I139" s="17">
        <f t="shared" si="24"/>
        <v>0</v>
      </c>
      <c r="J139" s="17"/>
      <c r="K139" s="19" t="str">
        <f>CONCATENATE(Table2[[#This Row],[Specs]],Table2[[#This Row],[Width]],Table2[[#This Row],[Slitting]])</f>
        <v>y ユポ80 MDN 8GB165</v>
      </c>
    </row>
    <row r="140" spans="1:13">
      <c r="A140" s="15" t="s">
        <v>320</v>
      </c>
      <c r="B140" s="16" t="s">
        <v>230</v>
      </c>
      <c r="C140" s="17">
        <v>130</v>
      </c>
      <c r="D140" s="17"/>
      <c r="E140" s="17">
        <v>500</v>
      </c>
      <c r="F140" s="17">
        <v>1</v>
      </c>
      <c r="G140" s="17">
        <f t="shared" si="23"/>
        <v>500</v>
      </c>
      <c r="H140" s="17"/>
      <c r="I140" s="17">
        <f t="shared" si="24"/>
        <v>500</v>
      </c>
      <c r="J140" s="17"/>
      <c r="K140" s="19" t="str">
        <f>CONCATENATE(Table2[[#This Row],[Specs]],Table2[[#This Row],[Width]],Table2[[#This Row],[Slitting]])</f>
        <v>N 上質&lt;55&gt;ME 7GB130</v>
      </c>
    </row>
    <row r="141" spans="1:13">
      <c r="A141" s="15" t="s">
        <v>321</v>
      </c>
      <c r="B141" s="16" t="s">
        <v>252</v>
      </c>
      <c r="C141" s="17">
        <v>165</v>
      </c>
      <c r="D141" s="17"/>
      <c r="E141" s="17">
        <v>600</v>
      </c>
      <c r="F141" s="17">
        <v>1</v>
      </c>
      <c r="G141" s="17">
        <f>F141*E141</f>
        <v>600</v>
      </c>
      <c r="H141" s="17"/>
      <c r="I141" s="17">
        <f>G141-H141</f>
        <v>600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>
      <c r="A142" s="15" t="s">
        <v>321</v>
      </c>
      <c r="B142" s="16" t="s">
        <v>252</v>
      </c>
      <c r="C142" s="17">
        <v>165</v>
      </c>
      <c r="D142" s="17"/>
      <c r="E142" s="17">
        <v>600</v>
      </c>
      <c r="F142" s="17">
        <v>1</v>
      </c>
      <c r="G142" s="17">
        <f>F142*E142</f>
        <v>600</v>
      </c>
      <c r="H142" s="17"/>
      <c r="I142" s="17">
        <f>G142-H142</f>
        <v>600</v>
      </c>
      <c r="J142" s="17"/>
      <c r="K142" s="19" t="str">
        <f>CONCATENATE(Table2[[#This Row],[Specs]],Table2[[#This Row],[Width]],Table2[[#This Row],[Slitting]])</f>
        <v>y ユポ80 MDN 8GB165</v>
      </c>
    </row>
    <row r="143" spans="1:13">
      <c r="A143" s="15"/>
      <c r="B143" s="16"/>
      <c r="C143" s="17"/>
      <c r="D143" s="17"/>
      <c r="E143" s="17"/>
      <c r="F143" s="17"/>
      <c r="G143" s="17">
        <f>F143*E143</f>
        <v>0</v>
      </c>
      <c r="H143" s="17"/>
      <c r="I143" s="17">
        <f>G143-H143</f>
        <v>0</v>
      </c>
      <c r="J143" s="17"/>
      <c r="K143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09" activePane="bottomLeft" state="frozen"/>
      <selection pane="bottomLeft" activeCell="J3" sqref="J3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254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284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261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236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247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242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 D2166?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235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239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236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215</v>
      </c>
      <c r="C201" s="26">
        <v>163</v>
      </c>
      <c r="D201" s="26" t="s">
        <v>237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238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240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241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５LX４</v>
      </c>
    </row>
    <row r="206" spans="1:8" ht="20">
      <c r="A206" s="25"/>
      <c r="B206" s="26" t="s">
        <v>22</v>
      </c>
      <c r="C206" s="26">
        <v>273</v>
      </c>
      <c r="D206" s="26" t="s">
        <v>243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244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245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246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291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270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278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278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278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215</v>
      </c>
      <c r="C216" s="26">
        <v>102</v>
      </c>
      <c r="D216" s="43" t="s">
        <v>294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215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215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/>
      <c r="C219" s="26"/>
      <c r="D219" s="26"/>
      <c r="E219" s="26"/>
      <c r="F219" s="21"/>
      <c r="G219" s="26"/>
      <c r="H219" s="27" t="str">
        <f>CONCATENATE(Table1[[#This Row],[Order Code]],Table1[[#This Row],[NAME]])</f>
        <v/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309</v>
      </c>
      <c r="B1" s="47" t="s">
        <v>310</v>
      </c>
      <c r="C1" s="47" t="s">
        <v>312</v>
      </c>
    </row>
    <row r="2" spans="1:3">
      <c r="A2" s="46">
        <v>44189</v>
      </c>
      <c r="B2" t="s">
        <v>311</v>
      </c>
      <c r="C2" t="s">
        <v>313</v>
      </c>
    </row>
    <row r="3" spans="1:3">
      <c r="A3" s="46">
        <v>44190</v>
      </c>
      <c r="B3" t="s">
        <v>311</v>
      </c>
      <c r="C3" t="s">
        <v>314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233</v>
      </c>
      <c r="B1" s="58"/>
    </row>
    <row r="2" spans="1:2" ht="23">
      <c r="A2" s="33">
        <v>44061</v>
      </c>
      <c r="B2" s="37" t="s">
        <v>232</v>
      </c>
    </row>
    <row r="3" spans="1:2" ht="23">
      <c r="A3" s="33">
        <v>44062</v>
      </c>
      <c r="B3" s="36" t="s">
        <v>248</v>
      </c>
    </row>
    <row r="4" spans="1:2" ht="23">
      <c r="A4" s="33">
        <v>44063</v>
      </c>
      <c r="B4" s="36" t="s">
        <v>234</v>
      </c>
    </row>
    <row r="5" spans="1:2" ht="23">
      <c r="A5" s="33">
        <v>44064</v>
      </c>
      <c r="B5" s="36" t="s">
        <v>263</v>
      </c>
    </row>
    <row r="6" spans="1:2" ht="23">
      <c r="B6" s="36" t="s">
        <v>268</v>
      </c>
    </row>
    <row r="7" spans="1:2" ht="46">
      <c r="A7" s="35" t="s">
        <v>308</v>
      </c>
      <c r="B7" s="34" t="s">
        <v>315</v>
      </c>
    </row>
    <row r="8" spans="1:2" ht="46">
      <c r="A8" s="33">
        <v>44209</v>
      </c>
      <c r="B8" s="34" t="s">
        <v>319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2021-01-18T02:57:38Z</dcterms:modified>
</cp:coreProperties>
</file>