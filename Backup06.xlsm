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2349397A-E08C-0442-803B-9A104C49F50B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42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Paper!$A$5:$J$168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9"/>
  </pivotCaches>
</workbook>
</file>

<file path=xl/calcChain.xml><?xml version="1.0" encoding="utf-8"?>
<calcChain xmlns="http://schemas.openxmlformats.org/spreadsheetml/2006/main">
  <c r="G168" i="2" l="1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42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<sst xmlns="http://schemas.openxmlformats.org/spreadsheetml/2006/main" count="1110" uniqueCount="378">
  <si>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</si>
  <si>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</si>
  <si>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</si>
  <si>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</si>
  <si>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</si>
  <si>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</si>
  <si>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</si>
  <si>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</si>
  <si>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</si>
  <si>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</si>
  <si>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</si>
  <si>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</si>
  <si>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</si>
  <si>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</si>
  <si>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</si>
  <si>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</si>
  <si>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</si>
  <si>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</si>
  <si>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</si>
  <si>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</si>
  <si>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</si>
  <si>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</si>
  <si>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</si>
  <si>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</si>
  <si>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</si>
  <si>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</si>
  <si>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</si>
  <si>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</si>
  <si>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</si>
  <si>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</si>
  <si>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</si>
  <si>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</si>
  <si>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</si>
  <si>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</si>
  <si>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</si>
  <si>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</si>
  <si>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</si>
  <si>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</si>
  <si>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</si>
  <si>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</si>
  <si>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</si>
  <si>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</si>
  <si>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</si>
  <si>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</si>
  <si>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</si>
  <si>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</si>
  <si>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</si>
  <si>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</si>
  <si>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</si>
  <si>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</si>
  <si>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</si>
  <si>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</si>
  <si>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</si>
  <si>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</si>
  <si>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</si>
  <si>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</si>
  <si>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</si>
  <si>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</si>
  <si>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</si>
  <si>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</si>
  <si>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</si>
  <si>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</si>
  <si>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</si>
  <si>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</si>
  <si>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</si>
  <si>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</si>
  <si>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</si>
  <si>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</si>
  <si>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</si>
  <si>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</si>
  <si>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</si>
  <si>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</si>
  <si>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</si>
  <si>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</si>
  <si>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</si>
  <si>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</si>
  <si>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</si>
  <si>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</si>
  <si>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</si>
  <si>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</si>
  <si>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</si>
  <si>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</si>
  <si>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</si>
  <si>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</si>
  <si>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</si>
  <si>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</si>
  <si>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</si>
  <si>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</si>
  <si>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</si>
  <si>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</si>
  <si>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</si>
  <si>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</si>
  <si>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</si>
  <si>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</si>
  <si>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</si>
  <si>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</si>
  <si>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</si>
  <si>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</si>
  <si>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</si>
  <si>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</si>
  <si>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</si>
  <si>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</si>
  <si>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</si>
  <si>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</si>
  <si>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</si>
  <si>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</si>
  <si>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</si>
  <si>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</si>
  <si>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</si>
  <si>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</si>
  <si>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</si>
  <si>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</si>
  <si>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</si>
  <si>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</si>
  <si>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</si>
  <si>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</si>
  <si>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</si>
  <si>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</si>
  <si>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</si>
  <si>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</si>
  <si>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</si>
  <si>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</si>
  <si>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</si>
  <si>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</si>
  <si>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</si>
  <si>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</si>
  <si>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</si>
  <si>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</si>
  <si>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</si>
  <si>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</si>
  <si>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</si>
  <si>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</si>
  <si>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</si>
  <si>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</si>
  <si>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</si>
  <si>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</si>
  <si>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</si>
  <si>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</si>
  <si>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</si>
  <si>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</si>
  <si>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</si>
  <si>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</si>
  <si>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</si>
  <si>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</si>
  <si>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</si>
  <si>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</si>
  <si>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</si>
  <si>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</si>
  <si>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</si>
  <si>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</si>
  <si>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</si>
  <si>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</si>
  <si>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</si>
  <si>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</si>
  <si>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</si>
  <si>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</si>
  <si>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</si>
  <si>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</si>
  <si>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</si>
  <si>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</si>
  <si>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</si>
  <si>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</si>
  <si>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</si>
  <si>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</si>
  <si>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</si>
  <si>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</si>
  <si>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</si>
  <si>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</si>
  <si>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</si>
  <si>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</si>
  <si>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</si>
  <si>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</si>
  <si>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</si>
  <si>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</si>
  <si>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</si>
  <si>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</si>
  <si>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</si>
  <si>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</si>
  <si>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</si>
  <si>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</si>
  <si>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</si>
  <si>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</si>
  <si>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</si>
  <si>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</si>
  <si>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</si>
  <si>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</si>
  <si>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</si>
  <si>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</si>
  <si>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</si>
  <si>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</si>
  <si>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</si>
  <si>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</si>
  <si>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</si>
  <si>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</si>
  <si>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</si>
  <si>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</si>
  <si>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</si>
  <si>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</si>
  <si>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</si>
  <si>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</si>
  <si>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</si>
  <si>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</si>
  <si>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</si>
  <si>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</si>
  <si>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</si>
  <si>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</si>
  <si>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</si>
  <si>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</si>
  <si>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</si>
  <si>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</si>
  <si>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</si>
  <si>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</si>
  <si>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</si>
  <si>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</si>
  <si>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</si>
  <si>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</si>
  <si>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</si>
  <si>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</si>
  <si>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</si>
  <si>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</si>
  <si>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</si>
  <si>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</si>
  <si>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</si>
  <si>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</si>
  <si>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</si>
  <si>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</si>
  <si>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</si>
  <si>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</si>
  <si>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</si>
  <si>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</si>
  <si>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</si>
  <si>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</si>
  <si>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</si>
  <si>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</si>
  <si>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</si>
  <si>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</si>
  <si>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</si>
  <si>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</si>
  <si>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</si>
  <si>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</si>
  <si>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</si>
  <si>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</si>
  <si>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</si>
  <si>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</si>
  <si>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</si>
  <si>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</si>
  <si>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</si>
  <si>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</si>
  <si>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</si>
  <si>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</si>
  <si>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</si>
  <si>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</si>
  <si>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</si>
  <si>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</si>
  <si>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</si>
  <si>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</si>
  <si>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</si>
  <si>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</si>
  <si>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</si>
  <si>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</si>
  <si>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</si>
  <si>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</si>
  <si>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</si>
  <si>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</si>
  <si>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</si>
  <si>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</si>
  <si>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</si>
  <si>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</si>
  <si>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</si>
  <si>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</si>
  <si>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</si>
  <si>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</si>
  <si>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</si>
  <si>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</si>
  <si>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</si>
  <si>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</si>
  <si>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</si>
  <si>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</si>
  <si>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</si>
  <si>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</si>
  <si>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</si>
  <si>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</si>
  <si>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</si>
  <si>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</si>
  <si>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</si>
  <si>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</si>
  <si>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</si>
  <si>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</si>
  <si>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</si>
  <si>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</si>
  <si>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</si>
  <si>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</si>
  <si>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</si>
  <si>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</si>
  <si>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</si>
  <si>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</si>
  <si>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</si>
  <si>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</si>
  <si>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</si>
  <si>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</si>
  <si>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</si>
  <si>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</si>
  <si>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</si>
  <si>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</si>
  <si>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</si>
  <si>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</si>
  <si>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</si>
  <si>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</si>
  <si>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</si>
  <si>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</si>
  <si>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</si>
  <si>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</si>
  <si>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</si>
  <si>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</si>
  <si>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</si>
  <si>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</si>
  <si>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</si>
  <si>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</si>
  <si>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</si>
  <si>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</si>
  <si>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</si>
  <si>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</si>
  <si>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</si>
  <si>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</si>
  <si>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</si>
  <si>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</si>
  <si>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</si>
  <si>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</si>
  <si>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</si>
  <si>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</si>
  <si>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</si>
  <si>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</si>
  <si>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</si>
  <si>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</si>
  <si>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</si>
  <si>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</si>
  <si>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</si>
  <si>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</si>
  <si>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</si>
  <si>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</si>
  <si>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</si>
  <si>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</si>
  <si>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</si>
  <si>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</si>
  <si>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</si>
  <si>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</si>
  <si>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</si>
  <si>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</si>
  <si>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</si>
  <si>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</si>
  <si>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</si>
  <si>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</si>
  <si>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</si>
  <si>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</si>
  <si>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</si>
  <si>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</si>
  <si>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</si>
  <si>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</si>
  <si>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</si>
  <si>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</si>
  <si>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</si>
  <si>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</si>
  <si>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</si>
  <si>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</si>
  <si>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</si>
  <si>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</si>
  <si>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</si>
  <si>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</si>
  <si>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</si>
  <si>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</si>
  <si>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</si>
  <si>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</si>
  <si>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</si>
  <si>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</si>
  <si>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</si>
  <si>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R-8169(10kg)</t>
  </si>
  <si>
    <t>黄緑</t>
  </si>
  <si>
    <t>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</si>
</sst>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7.70647986111" createdVersion="3" refreshedVersion="6" minRefreshableVersion="3" recordCount="162" xr:uid="{FE628B1E-4489-9D4F-90BB-A616FD8AE098}">
  <cacheSource type="worksheet">
    <worksheetSource ref="A5:K167" sheet="Paper"/>
  </cacheSource>
  <cacheFields count="11">
    <cacheField name="Arrival" numFmtId="49">
      <sharedItems count="6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400"/>
        <n v="550"/>
        <n v="570"/>
        <n v="180"/>
        <n v="70"/>
        <n v="300"/>
        <n v="480"/>
        <n v="500"/>
        <n v="580"/>
        <n v="585"/>
        <n v="380"/>
        <n v="10"/>
        <n v="250"/>
        <n v="80"/>
        <n v="1000"/>
        <n v="20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480"/>
        <n v="600"/>
        <n v="1200"/>
        <n v="200"/>
        <n v="50"/>
        <n v="300"/>
        <n v="30"/>
        <n v="20"/>
        <n v="130"/>
        <n v="100"/>
        <n v="120"/>
        <n v="60"/>
        <n v="400"/>
        <n v="15"/>
        <n v="80"/>
        <n v="290"/>
        <n v="500"/>
        <n v="350"/>
        <n v="520"/>
        <n v="1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0"/>
    <x v="0"/>
    <x v="1"/>
    <x v="7"/>
  </r>
  <r>
    <x v="12"/>
    <x v="0"/>
    <x v="6"/>
    <x v="0"/>
    <x v="0"/>
    <x v="0"/>
    <x v="0"/>
    <x v="5"/>
    <x v="5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11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2"/>
    <x v="8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2"/>
    <x v="8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10"/>
    <x v="1"/>
    <x v="22"/>
  </r>
  <r>
    <x v="12"/>
    <x v="7"/>
    <x v="12"/>
    <x v="1"/>
    <x v="0"/>
    <x v="0"/>
    <x v="0"/>
    <x v="13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4"/>
    <x v="8"/>
    <x v="2"/>
    <x v="23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4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5"/>
    <x v="16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10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7"/>
    <x v="0"/>
    <x v="30"/>
  </r>
  <r>
    <x v="37"/>
    <x v="11"/>
    <x v="12"/>
    <x v="1"/>
    <x v="7"/>
    <x v="0"/>
    <x v="8"/>
    <x v="2"/>
    <x v="17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16"/>
    <x v="10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5"/>
    <x v="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7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0"/>
    <x v="0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3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5"/>
    <x v="5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3"/>
    <x v="0"/>
    <x v="37"/>
  </r>
  <r>
    <x v="59"/>
    <x v="0"/>
    <x v="0"/>
    <x v="0"/>
    <x v="0"/>
    <x v="0"/>
    <x v="0"/>
    <x v="0"/>
    <x v="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0"/>
    <x v="20"/>
    <x v="0"/>
    <x v="8"/>
  </r>
  <r>
    <x v="59"/>
    <x v="0"/>
    <x v="4"/>
    <x v="1"/>
    <x v="0"/>
    <x v="0"/>
    <x v="0"/>
    <x v="19"/>
    <x v="13"/>
    <x v="0"/>
    <x v="9"/>
  </r>
  <r>
    <x v="60"/>
    <x v="3"/>
    <x v="16"/>
    <x v="1"/>
    <x v="1"/>
    <x v="0"/>
    <x v="2"/>
    <x v="1"/>
    <x v="21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0"/>
    <x v="0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0"/>
    <x v="0"/>
    <x v="0"/>
    <x v="10"/>
  </r>
  <r>
    <x v="64"/>
    <x v="0"/>
    <x v="6"/>
    <x v="1"/>
    <x v="0"/>
    <x v="0"/>
    <x v="0"/>
    <x v="0"/>
    <x v="0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0"/>
    <x v="0"/>
    <x v="0"/>
    <x v="12"/>
  </r>
  <r>
    <x v="65"/>
    <x v="0"/>
    <x v="0"/>
    <x v="0"/>
    <x v="0"/>
    <x v="0"/>
    <x v="0"/>
    <x v="2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AB4490-6EA1-6D4E-94DA-D59FA1470B2C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6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5"/>
        <item x="8"/>
        <item x="17"/>
        <item x="1"/>
        <item x="7"/>
        <item x="19"/>
        <item x="16"/>
        <item x="9"/>
        <item x="14"/>
        <item x="4"/>
        <item x="20"/>
        <item x="10"/>
        <item x="11"/>
        <item x="5"/>
        <item x="6"/>
        <item x="12"/>
        <item x="13"/>
        <item x="0"/>
        <item x="18"/>
        <item x="2"/>
      </items>
    </pivotField>
    <pivotField dataField="1" showAll="0" defaultSubtotal="0">
      <items count="22">
        <item x="0"/>
        <item x="14"/>
        <item x="8"/>
        <item x="7"/>
        <item x="5"/>
        <item x="12"/>
        <item x="15"/>
        <item x="10"/>
        <item x="11"/>
        <item x="9"/>
        <item x="20"/>
        <item x="21"/>
        <item x="4"/>
        <item x="16"/>
        <item x="6"/>
        <item x="18"/>
        <item x="13"/>
        <item x="1"/>
        <item x="17"/>
        <item x="19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8" headerRowDxfId="52" dataDxfId="51" totalsRowDxfId="50">
  <autoFilter ref="A5:K168" xr:uid="{00000000-0009-0000-0100-000002000000}">
    <filterColumn colId="10">
      <customFilters>
        <customFilter val="*155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8" dataDxfId="27">
  <autoFilter ref="A5:H239" xr:uid="{00000000-0009-0000-0100-000001000000}">
    <filterColumn colId="7">
      <customFilters>
        <customFilter val="*黄緑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2" totalsRowShown="0" headerRowDxfId="18" dataDxfId="17">
  <autoFilter ref="A4:L32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165FA-ED19-FA49-8D07-48F0A361F833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1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44257.706435185188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650</v>
      </c>
      <c r="J17" s="6">
        <v>0</v>
      </c>
      <c r="K17" s="6"/>
      <c r="L17" s="6"/>
      <c r="M17" s="6">
        <v>600</v>
      </c>
      <c r="N17" s="6"/>
      <c r="O17" s="6">
        <v>800</v>
      </c>
      <c r="P17" s="6">
        <v>400</v>
      </c>
      <c r="Q17" s="6"/>
      <c r="R17" s="6">
        <v>750</v>
      </c>
      <c r="S17" s="6"/>
      <c r="T17" s="6">
        <v>600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8"/>
  <sheetViews>
    <sheetView zoomScale="150" zoomScaleNormal="150" workbookViewId="0">
      <pane ySplit="5" topLeftCell="A67" activePane="bottomLeft" state="frozen"/>
      <selection pane="bottomLeft" activeCell="H169" sqref="H169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377</v>
      </c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600</v>
      </c>
      <c r="I28" s="17">
        <f t="shared" si="1"/>
        <v>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>
        <v>550</v>
      </c>
      <c r="I29" s="17">
        <f t="shared" si="1"/>
        <v>50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 hidden="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 hidden="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 hidden="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 hidden="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 hidden="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 hidden="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 hidden="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 hidden="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 hidden="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 hidden="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 hidden="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 hidden="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 hidden="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 hidden="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 hidden="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 hidden="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 hidden="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 hidden="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 hidden="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 hidden="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 hidden="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 hidden="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600</v>
      </c>
      <c r="I129" s="17">
        <f t="shared" si="22"/>
        <v>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 hidden="1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 hidden="1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 hidden="1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 hidden="1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 hidden="1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 hidden="1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 hidden="1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 hidden="1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 hidden="1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 hidden="1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 hidden="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600</v>
      </c>
      <c r="I153" s="17">
        <f t="shared" si="28"/>
        <v>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 hidden="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 hidden="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>
        <v>450</v>
      </c>
      <c r="I155" s="17">
        <f t="shared" si="28"/>
        <v>150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>
        <v>200</v>
      </c>
      <c r="I156" s="17">
        <f t="shared" si="28"/>
        <v>400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 hidden="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 hidden="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 hidden="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>
        <v>600</v>
      </c>
      <c r="I161" s="17">
        <f t="shared" si="30"/>
        <v>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 hidden="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 hidden="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600</v>
      </c>
      <c r="I163" s="17">
        <f t="shared" si="30"/>
        <v>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 hidden="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>
        <v>600</v>
      </c>
      <c r="I164" s="17">
        <f>G164-H164</f>
        <v>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 hidden="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 hidden="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>F166*E166</f>
        <v>600</v>
      </c>
      <c r="H166" s="17">
        <v>600</v>
      </c>
      <c r="I166" s="17">
        <f>G166-H166</f>
        <v>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 hidden="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>F167*E167</f>
        <v>600</v>
      </c>
      <c r="H167" s="17"/>
      <c r="I167" s="17">
        <f>G167-H167</f>
        <v>600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 hidden="1">
      <c r="A168" s="15"/>
      <c r="B168" s="16"/>
      <c r="C168" s="17"/>
      <c r="D168" s="17"/>
      <c r="E168" s="17"/>
      <c r="F168" s="17"/>
      <c r="G168" s="17">
        <f>F168*E168</f>
        <v>0</v>
      </c>
      <c r="H168" s="17"/>
      <c r="I168" s="17">
        <f>G168-H168</f>
        <v>0</v>
      </c>
      <c r="J168" s="17"/>
      <c r="K168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 t="s">
        <v>376</v>
      </c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 hidden="1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 hidden="1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 hidden="1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 hidden="1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 hidden="1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 hidden="1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 hidden="1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 hidden="1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 hidden="1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 hidden="1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 hidden="1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 hidden="1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 hidden="1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 hidden="1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 hidden="1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 hidden="1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 hidden="1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 hidden="1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 hidden="1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 hidden="1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 hidden="1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 hidden="1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 hidden="1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 hidden="1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 hidden="1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 hidden="1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 hidden="1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 hidden="1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 hidden="1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 hidden="1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 hidden="1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 hidden="1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 hidden="1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 hidden="1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 hidden="1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 hidden="1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 hidden="1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 hidden="1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 hidden="1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 hidden="1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 hidden="1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 hidden="1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 hidden="1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 hidden="1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 hidden="1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 hidden="1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 hidden="1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 hidden="1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 hidden="1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 hidden="1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 hidden="1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 hidden="1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 hidden="1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 hidden="1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 hidden="1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 hidden="1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 hidden="1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 hidden="1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 hidden="1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 hidden="1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 hidden="1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 hidden="1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 hidden="1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 hidden="1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 hidden="1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 hidden="1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 hidden="1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 hidden="1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 hidden="1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 hidden="1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 hidden="1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 hidden="1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 hidden="1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 hidden="1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 hidden="1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 hidden="1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 hidden="1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 hidden="1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 hidden="1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 hidden="1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 hidden="1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 hidden="1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 hidden="1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 hidden="1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 hidden="1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 hidden="1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 hidden="1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 hidden="1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 hidden="1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 hidden="1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 hidden="1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 hidden="1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 hidden="1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 hidden="1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 hidden="1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 hidden="1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 hidden="1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 hidden="1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 hidden="1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 hidden="1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 hidden="1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 hidden="1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 hidden="1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 hidden="1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 hidden="1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 hidden="1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 hidden="1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 hidden="1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 hidden="1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 hidden="1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 hidden="1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 hidden="1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 hidden="1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 hidden="1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 hidden="1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 hidden="1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 hidden="1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 hidden="1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 hidden="1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 hidden="1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 hidden="1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 hidden="1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 hidden="1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 hidden="1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 hidden="1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 hidden="1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 hidden="1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 hidden="1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 hidden="1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 hidden="1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 hidden="1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 hidden="1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 hidden="1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 hidden="1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 hidden="1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 hidden="1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 hidden="1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 hidden="1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 hidden="1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 hidden="1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 hidden="1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 hidden="1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 hidden="1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 hidden="1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 hidden="1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 hidden="1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 hidden="1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 hidden="1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 hidden="1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 hidden="1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 hidden="1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 hidden="1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 hidden="1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 hidden="1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 hidden="1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 hidden="1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 hidden="1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 hidden="1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 hidden="1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 hidden="1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 hidden="1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 hidden="1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 hidden="1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 hidden="1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 hidden="1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 hidden="1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 hidden="1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 hidden="1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 hidden="1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 hidden="1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 hidden="1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 hidden="1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 hidden="1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 hidden="1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 hidden="1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 hidden="1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 hidden="1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 hidden="1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 hidden="1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 hidden="1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 hidden="1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 hidden="1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 hidden="1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 hidden="1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 hidden="1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 hidden="1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 hidden="1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 hidden="1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 hidden="1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 hidden="1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 hidden="1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 hidden="1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 hidden="1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 hidden="1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 hidden="1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 hidden="1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 hidden="1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 hidden="1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 hidden="1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 hidden="1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 hidden="1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 hidden="1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 hidden="1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 hidden="1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 hidden="1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 hidden="1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 hidden="1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 hidden="1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 hidden="1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 hidden="1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 hidden="1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 hidden="1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 hidden="1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 hidden="1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 hidden="1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 hidden="1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 hidden="1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 hidden="1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 hidden="1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 hidden="1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 hidden="1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 hidden="1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 hidden="1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 hidden="1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 hidden="1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 hidden="1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 hidden="1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 hidden="1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 hidden="1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 hidden="1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 hidden="1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5" zoomScale="102" workbookViewId="0">
      <selection activeCell="A32" sqref="A32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B8" s="51">
        <v>1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A31" s="51" t="s">
        <v>375</v>
      </c>
      <c r="C31" s="55">
        <v>14300</v>
      </c>
      <c r="D31" s="51">
        <v>138622</v>
      </c>
      <c r="E31" s="51">
        <v>1000</v>
      </c>
      <c r="F31" s="51">
        <v>1</v>
      </c>
      <c r="G31" s="51">
        <v>125</v>
      </c>
      <c r="H31" s="51">
        <v>262</v>
      </c>
      <c r="I31" s="52" t="s">
        <v>370</v>
      </c>
      <c r="J31" s="52" t="s">
        <v>340</v>
      </c>
      <c r="K31" s="53">
        <v>20210225</v>
      </c>
      <c r="L31" s="51" t="s">
        <v>287</v>
      </c>
    </row>
    <row r="32" spans="1:12">
      <c r="C32" s="55"/>
      <c r="I32" s="52"/>
      <c r="J32" s="52"/>
      <c r="K32" s="53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2021-03-02T07:57:22Z</dcterms:modified>
</cp:coreProperties>
</file>