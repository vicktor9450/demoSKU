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691271FD-E784-2C49-81C8-090D2FDFEEA5}" xr6:coauthVersionLast="45" xr6:coauthVersionMax="45" xr10:uidLastSave="{00000000-0000-0000-0000-000000000000}"/>
  <bookViews>
    <workbookView xWindow="0" yWindow="500" windowWidth="34220" windowHeight="23520" activeTab="1" xr2:uid="{00000000-000D-0000-FFFF-FFFF00000000}"/>
  </bookViews>
  <sheets>
    <sheet name="PaperSummary" sheetId="276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Paper!$A$5:$J$134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0" r:id="rId8"/>
  </pivotCaches>
</workbook>
</file>

<file path=xl/calcChain.xml><?xml version="1.0" encoding="utf-8"?>
<calcChain xmlns="http://schemas.openxmlformats.org/spreadsheetml/2006/main">
  <c r="G134" i="2" l="1"/>
  <c r="I134" i="2" s="1"/>
  <c r="K134" i="2"/>
  <c r="I3" i="2"/>
  <c r="G20" i="2" l="1"/>
  <c r="G133" i="2" l="1"/>
  <c r="I133" i="2" s="1"/>
  <c r="K133" i="2"/>
  <c r="G132" i="2"/>
  <c r="I132" i="2" s="1"/>
  <c r="K132" i="2"/>
  <c r="G131" i="2"/>
  <c r="I131" i="2" s="1"/>
  <c r="K131" i="2"/>
  <c r="G130" i="2" l="1"/>
  <c r="I130" i="2" s="1"/>
  <c r="K130" i="2"/>
  <c r="F3" i="3"/>
  <c r="G129" i="2" l="1"/>
  <c r="I129" i="2" s="1"/>
  <c r="K129" i="2"/>
  <c r="G128" i="2" l="1"/>
  <c r="I128" i="2" s="1"/>
  <c r="K128" i="2"/>
  <c r="G127" i="2" l="1"/>
  <c r="I127" i="2" s="1"/>
  <c r="K127" i="2"/>
  <c r="G126" i="2"/>
  <c r="I126" i="2" s="1"/>
  <c r="K126" i="2"/>
  <c r="G125" i="2"/>
  <c r="I125" i="2" s="1"/>
  <c r="K125" i="2"/>
  <c r="G124" i="2"/>
  <c r="I124" i="2" s="1"/>
  <c r="K124" i="2"/>
  <c r="G123" i="2" l="1"/>
  <c r="I123" i="2" s="1"/>
  <c r="K123" i="2"/>
  <c r="G122" i="2"/>
  <c r="I122" i="2" s="1"/>
  <c r="K122" i="2"/>
  <c r="G121" i="2"/>
  <c r="I121" i="2" s="1"/>
  <c r="K121" i="2"/>
  <c r="G120" i="2" l="1"/>
  <c r="I120" i="2" s="1"/>
  <c r="K120" i="2"/>
  <c r="G119" i="2"/>
  <c r="I119" i="2" s="1"/>
  <c r="K119" i="2"/>
  <c r="G118" i="2"/>
  <c r="I118" i="2" s="1"/>
  <c r="K118" i="2"/>
  <c r="G117" i="2" l="1"/>
  <c r="I117" i="2" s="1"/>
  <c r="K117" i="2"/>
  <c r="G116" i="2"/>
  <c r="I116" i="2" s="1"/>
  <c r="K116" i="2"/>
  <c r="G115" i="2"/>
  <c r="I115" i="2" s="1"/>
  <c r="K115" i="2"/>
  <c r="G114" i="2"/>
  <c r="I114" i="2" s="1"/>
  <c r="K114" i="2"/>
  <c r="G113" i="2" l="1"/>
  <c r="I113" i="2" s="1"/>
  <c r="K113" i="2"/>
  <c r="G112" i="2" l="1"/>
  <c r="I112" i="2" s="1"/>
  <c r="K112" i="2"/>
  <c r="G111" i="2"/>
  <c r="I111" i="2" s="1"/>
  <c r="K111" i="2"/>
  <c r="G110" i="2"/>
  <c r="I110" i="2" s="1"/>
  <c r="K110" i="2"/>
  <c r="G109" i="2" l="1"/>
  <c r="I109" i="2" s="1"/>
  <c r="K109" i="2"/>
  <c r="G108" i="2" l="1"/>
  <c r="I108" i="2" s="1"/>
  <c r="K108" i="2"/>
  <c r="G107" i="2"/>
  <c r="I107" i="2" s="1"/>
  <c r="K107" i="2"/>
  <c r="G106" i="2" l="1"/>
  <c r="I106" i="2" s="1"/>
  <c r="K106" i="2"/>
  <c r="G102" i="2" l="1"/>
  <c r="G105" i="2" l="1"/>
  <c r="I105" i="2" s="1"/>
  <c r="K105" i="2"/>
  <c r="G104" i="2"/>
  <c r="I104" i="2" s="1"/>
  <c r="K104" i="2"/>
  <c r="G103" i="2"/>
  <c r="I103" i="2" s="1"/>
  <c r="K103" i="2"/>
  <c r="I102" i="2"/>
  <c r="K102" i="2"/>
  <c r="G101" i="2"/>
  <c r="I101" i="2" s="1"/>
  <c r="K101" i="2"/>
  <c r="G100" i="2" l="1"/>
  <c r="I100" i="2" s="1"/>
  <c r="K100" i="2"/>
  <c r="G99" i="2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 l="1"/>
  <c r="I94" i="2" s="1"/>
  <c r="K94" i="2"/>
  <c r="G93" i="2"/>
  <c r="K93" i="2"/>
  <c r="G92" i="2"/>
  <c r="I92" i="2" s="1"/>
  <c r="K92" i="2"/>
  <c r="G91" i="2"/>
  <c r="I91" i="2" s="1"/>
  <c r="K91" i="2"/>
  <c r="G90" i="2"/>
  <c r="I90" i="2" s="1"/>
  <c r="K90" i="2"/>
  <c r="I93" i="2" l="1"/>
  <c r="G89" i="2"/>
  <c r="I89" i="2" s="1"/>
  <c r="K89" i="2"/>
  <c r="G88" i="2"/>
  <c r="I88" i="2" s="1"/>
  <c r="K88" i="2"/>
  <c r="G87" i="2" l="1"/>
  <c r="I87" i="2" s="1"/>
  <c r="K87" i="2"/>
  <c r="G86" i="2" l="1"/>
  <c r="I86" i="2" s="1"/>
  <c r="K86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<sst xmlns="http://schemas.openxmlformats.org/spreadsheetml/2006/main" count="916" uniqueCount="322">
  <si>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</si>
  <si>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</si>
  <si>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</si>
  <si>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</si>
  <si>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</si>
  <si>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</si>
  <si>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</si>
  <si>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</si>
  <si>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</si>
  <si>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</si>
  <si>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</si>
  <si>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</si>
  <si>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</si>
  <si>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</si>
  <si>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</si>
  <si>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</si>
  <si>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</si>
  <si>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</si>
  <si>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</si>
  <si>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</si>
  <si>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</si>
  <si>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</si>
  <si>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</si>
  <si>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</si>
  <si>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</si>
  <si>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</si>
  <si>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</si>
  <si>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</si>
  <si>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</si>
  <si>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</si>
  <si>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</si>
  <si>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</si>
  <si>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</si>
  <si>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</si>
  <si>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</si>
  <si>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</si>
  <si>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</si>
  <si>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</si>
  <si>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</si>
  <si>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</si>
  <si>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</si>
  <si>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</si>
  <si>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</si>
  <si>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</si>
  <si>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</si>
  <si>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</si>
  <si>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</si>
  <si>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</si>
  <si>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</si>
  <si>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</si>
  <si>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</si>
  <si>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</si>
  <si>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</si>
  <si>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</si>
  <si>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</si>
  <si>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</si>
  <si>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</si>
  <si>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</si>
  <si>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</si>
  <si>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</si>
  <si>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</si>
  <si>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</si>
  <si>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</si>
  <si>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</si>
  <si>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</si>
  <si>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</si>
  <si>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</si>
  <si>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</si>
  <si>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</si>
  <si>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</si>
  <si>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</si>
  <si>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</si>
  <si>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</si>
  <si>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</si>
  <si>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</si>
  <si>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</si>
  <si>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</si>
  <si>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</si>
  <si>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</si>
  <si>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</si>
  <si>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</si>
  <si>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</si>
  <si>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</si>
  <si>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</si>
  <si>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</si>
  <si>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</si>
  <si>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</si>
  <si>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</si>
  <si>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</si>
  <si>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</si>
  <si>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</si>
  <si>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</si>
  <si>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</si>
  <si>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</si>
  <si>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</si>
  <si>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</si>
  <si>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</si>
  <si>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</si>
  <si>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</si>
  <si>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</si>
  <si>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</si>
  <si>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</si>
  <si>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</si>
  <si>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</si>
  <si>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</si>
  <si>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</si>
  <si>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</si>
  <si>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</si>
  <si>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</si>
  <si>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</si>
  <si>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</si>
  <si>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</si>
  <si>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</si>
  <si>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</si>
  <si>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</si>
  <si>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</si>
  <si>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</si>
  <si>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</si>
  <si>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</si>
  <si>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</si>
  <si>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</si>
  <si>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</si>
  <si>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</si>
  <si>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</si>
  <si>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</si>
  <si>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</si>
  <si>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</si>
  <si>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</si>
  <si>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</si>
  <si>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</si>
  <si>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</si>
  <si>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</si>
  <si>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</si>
  <si>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</si>
  <si>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</si>
  <si>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</si>
  <si>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</si>
  <si>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</si>
  <si>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</si>
  <si>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</si>
  <si>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</si>
  <si>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</si>
  <si>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</si>
  <si>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</si>
  <si>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</si>
  <si>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</si>
  <si>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</si>
  <si>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</si>
  <si>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</si>
  <si>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</si>
  <si>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</si>
  <si>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</si>
  <si>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</si>
  <si>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</si>
  <si>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</si>
  <si>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</si>
  <si>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</si>
  <si>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</si>
  <si>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</si>
  <si>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</si>
  <si>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</si>
  <si>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</si>
  <si>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</si>
  <si>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</si>
  <si>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</si>
  <si>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</si>
  <si>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</si>
  <si>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</si>
  <si>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</si>
  <si>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</si>
  <si>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</si>
  <si>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</si>
  <si>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</si>
  <si>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</si>
  <si>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</si>
  <si>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</si>
  <si>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</si>
  <si>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</si>
  <si>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</si>
  <si>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</si>
  <si>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</si>
  <si>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</si>
  <si>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</si>
  <si>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</si>
  <si>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</si>
  <si>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</si>
  <si>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</si>
  <si>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</si>
  <si>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</si>
  <si>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</si>
  <si>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</si>
  <si>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</si>
  <si>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</si>
  <si>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</si>
  <si>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</si>
  <si>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</si>
  <si>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</si>
  <si>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</si>
  <si>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</si>
  <si>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</si>
  <si>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</si>
  <si>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</si>
  <si>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</si>
  <si>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</si>
  <si>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</si>
  <si>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</si>
  <si>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</si>
  <si>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</si>
  <si>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</si>
  <si>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</si>
  <si>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</si>
  <si>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</si>
  <si>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</si>
  <si>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</si>
  <si>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</si>
  <si>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</si>
  <si>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</si>
  <si>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</si>
  <si>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</si>
  <si>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</si>
  <si>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</si>
  <si>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</si>
  <si>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</si>
  <si>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</si>
  <si>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</si>
  <si>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</si>
  <si>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</si>
  <si>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</si>
  <si>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</si>
  <si>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</si>
  <si>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</si>
  <si>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</si>
  <si>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</si>
  <si>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</si>
  <si>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</si>
  <si>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</si>
  <si>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</si>
  <si>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</si>
  <si>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</si>
  <si>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</si>
  <si>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</si>
  <si>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</si>
  <si>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</si>
  <si>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</si>
  <si>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</si>
  <si>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</si>
  <si>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</si>
  <si>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</si>
  <si>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</si>
  <si>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</si>
  <si>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</si>
  <si>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</si>
  <si>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</si>
  <si>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</si>
  <si>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</si>
  <si>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</si>
  <si>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</si>
  <si>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</si>
  <si>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</si>
  <si>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</si>
  <si>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</si>
  <si>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</si>
  <si>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</si>
  <si>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</si>
  <si>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</si>
  <si>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</si>
  <si>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</si>
  <si>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</si>
  <si>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</si>
  <si>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</si>
  <si>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</si>
  <si>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</si>
  <si>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</si>
  <si>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</si>
  <si>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</si>
  <si>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</si>
  <si>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</si>
  <si>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</si>
  <si>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</si>
  <si>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</si>
  <si>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</si>
  <si>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</si>
  <si>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</si>
  <si>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</si>
  <si>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</si>
  <si>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</si>
  <si>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</si>
  <si>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</si>
  <si>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</si>
  <si>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</si>
  <si>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</si>
  <si>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</si>
  <si>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</si>
  <si>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</si>
  <si>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</si>
  <si>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</si>
  <si>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</si>
  <si>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</si>
  <si>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</si>
  <si>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</si>
  <si>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</si>
  <si>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</si>
  <si>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</si>
  <si>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</si>
  <si>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</si>
  <si>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</si>
  <si>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</si>
  <si>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</si>
  <si>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</si>
  <si>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</si>
  <si>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</si>
  <si>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</si>
  <si>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</si>
  <si>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</si>
  <si>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</si>
  <si>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</si>
  <si>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</si>
  <si>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</si>
  <si>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</si>
  <si>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</si>
  <si>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(blank)</t>
  </si>
  <si>
    <t>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</si>
</sst>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/d/yyyy\ h:mm\ AM/PM;@"/>
    <numFmt numFmtId="165" formatCode="[$-409]m/d/yy\ h:mm\ AM/PM;@"/>
    <numFmt numFmtId="166" formatCode="yyyy\-mm\-dd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3" fillId="5" borderId="0" xfId="0" applyFont="1" applyFill="1" applyAlignment="1">
      <alignment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8" fillId="0" borderId="0" xfId="0" applyFont="1"/>
    <xf numFmtId="49" fontId="16" fillId="0" borderId="15" xfId="0" applyNumberFormat="1" applyFont="1" applyBorder="1" applyAlignment="1">
      <alignment vertical="center"/>
    </xf>
    <xf numFmtId="0" fontId="17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0" fontId="6" fillId="0" borderId="7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01.338184953704" createdVersion="3" refreshedVersion="6" minRefreshableVersion="3" recordCount="128" xr:uid="{A9A5ACC7-CE67-C446-B491-0E99D23DECF4}">
  <cacheSource type="worksheet">
    <worksheetSource ref="A5:K133" sheet="Paper"/>
  </cacheSource>
  <cacheFields count="11">
    <cacheField name="Arrival" numFmtId="49">
      <sharedItems containsBlank="1" count="51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m/>
      </sharedItems>
    </cacheField>
    <cacheField name="Specs" numFmtId="0">
      <sharedItems containsBlank="1" count="15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  <m/>
      </sharedItems>
    </cacheField>
    <cacheField name="Width" numFmtId="0">
      <sharedItems containsString="0" containsBlank="1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m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tring="0" containsBlank="1" containsNumber="1" containsInteger="1" minValue="60" maxValue="1000" count="11">
        <n v="600"/>
        <n v="300"/>
        <n v="200"/>
        <n v="100"/>
        <n v="60"/>
        <n v="400"/>
        <n v="80"/>
        <n v="500"/>
        <n v="350"/>
        <n v="1000"/>
        <m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emiMixedTypes="0" containsString="0" containsNumber="1" containsInteger="1" minValue="0" maxValue="1200" count="12">
        <n v="600"/>
        <n v="1200"/>
        <n v="300"/>
        <n v="200"/>
        <n v="100"/>
        <n v="60"/>
        <n v="400"/>
        <n v="80"/>
        <n v="500"/>
        <n v="350"/>
        <n v="1000"/>
        <n v="0"/>
      </sharedItems>
    </cacheField>
    <cacheField name="Used" numFmtId="0">
      <sharedItems containsString="0" containsBlank="1" containsNumber="1" containsInteger="1" minValue="10" maxValue="1000" count="19">
        <n v="600"/>
        <m/>
        <n v="400"/>
        <n v="500"/>
        <n v="570"/>
        <n v="180"/>
        <n v="70"/>
        <n v="300"/>
        <n v="480"/>
        <n v="580"/>
        <n v="585"/>
        <n v="380"/>
        <n v="10"/>
        <n v="200"/>
        <n v="100"/>
        <n v="250"/>
        <n v="80"/>
        <n v="550"/>
        <n v="1000"/>
      </sharedItems>
    </cacheField>
    <cacheField name="Remaining" numFmtId="0">
      <sharedItems containsSemiMixedTypes="0" containsString="0" containsNumber="1" containsInteger="1" minValue="0" maxValue="1200" count="19">
        <n v="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6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8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2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3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3"/>
    <x v="4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6"/>
    <x v="2"/>
    <x v="6"/>
  </r>
  <r>
    <x v="12"/>
    <x v="3"/>
    <x v="3"/>
    <x v="1"/>
    <x v="2"/>
    <x v="0"/>
    <x v="3"/>
    <x v="5"/>
    <x v="7"/>
    <x v="0"/>
    <x v="13"/>
  </r>
  <r>
    <x v="12"/>
    <x v="3"/>
    <x v="3"/>
    <x v="1"/>
    <x v="2"/>
    <x v="0"/>
    <x v="3"/>
    <x v="6"/>
    <x v="8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4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9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9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4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7"/>
    <x v="0"/>
    <x v="0"/>
    <x v="14"/>
  </r>
  <r>
    <x v="30"/>
    <x v="2"/>
    <x v="8"/>
    <x v="1"/>
    <x v="1"/>
    <x v="0"/>
    <x v="2"/>
    <x v="12"/>
    <x v="14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2"/>
    <x v="4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13"/>
    <x v="11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3"/>
    <x v="4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14"/>
    <x v="15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5"/>
    <x v="0"/>
    <x v="30"/>
  </r>
  <r>
    <x v="37"/>
    <x v="11"/>
    <x v="12"/>
    <x v="1"/>
    <x v="7"/>
    <x v="0"/>
    <x v="8"/>
    <x v="1"/>
    <x v="15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"/>
    <x v="16"/>
    <x v="0"/>
    <x v="30"/>
  </r>
  <r>
    <x v="37"/>
    <x v="11"/>
    <x v="12"/>
    <x v="1"/>
    <x v="8"/>
    <x v="0"/>
    <x v="9"/>
    <x v="15"/>
    <x v="4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7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8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1"/>
    <x v="1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7"/>
    <x v="5"/>
    <x v="0"/>
    <x v="12"/>
  </r>
  <r>
    <x v="45"/>
    <x v="12"/>
    <x v="8"/>
    <x v="1"/>
    <x v="7"/>
    <x v="0"/>
    <x v="8"/>
    <x v="1"/>
    <x v="15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7"/>
    <x v="5"/>
    <x v="0"/>
    <x v="26"/>
  </r>
  <r>
    <x v="48"/>
    <x v="0"/>
    <x v="4"/>
    <x v="0"/>
    <x v="0"/>
    <x v="0"/>
    <x v="0"/>
    <x v="1"/>
    <x v="1"/>
    <x v="0"/>
    <x v="5"/>
  </r>
  <r>
    <x v="49"/>
    <x v="0"/>
    <x v="7"/>
    <x v="1"/>
    <x v="0"/>
    <x v="0"/>
    <x v="0"/>
    <x v="1"/>
    <x v="1"/>
    <x v="0"/>
    <x v="8"/>
  </r>
  <r>
    <x v="49"/>
    <x v="0"/>
    <x v="7"/>
    <x v="1"/>
    <x v="0"/>
    <x v="0"/>
    <x v="0"/>
    <x v="1"/>
    <x v="1"/>
    <x v="0"/>
    <x v="8"/>
  </r>
  <r>
    <x v="50"/>
    <x v="14"/>
    <x v="19"/>
    <x v="1"/>
    <x v="10"/>
    <x v="2"/>
    <x v="11"/>
    <x v="1"/>
    <x v="0"/>
    <x v="0"/>
    <x v="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D6378-A244-2446-8F05-CC3F7D999115}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9" firstHeaderRow="1" firstDataRow="3" firstDataCol="1"/>
  <pivotFields count="11">
    <pivotField showAll="0" defaultSubtotal="0">
      <items count="51"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  <item x="50"/>
      </items>
    </pivotField>
    <pivotField axis="axisRow" showAll="0" defaultSubtotal="0">
      <items count="15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  <item x="14"/>
      </items>
    </pivotField>
    <pivotField axis="axisCol" showAll="0" defaultSubtotal="0">
      <items count="20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  <item x="19"/>
      </items>
    </pivotField>
    <pivotField axis="axisCol" showAll="0" defaultSubtotal="0">
      <items count="2">
        <item x="0"/>
        <item n=" " x="1"/>
      </items>
    </pivotField>
    <pivotField showAll="0" defaultSubtotal="0">
      <items count="11">
        <item x="4"/>
        <item x="6"/>
        <item x="3"/>
        <item x="2"/>
        <item x="1"/>
        <item x="8"/>
        <item x="5"/>
        <item x="7"/>
        <item x="0"/>
        <item x="9"/>
        <item x="10"/>
      </items>
    </pivotField>
    <pivotField showAll="0" defaultSubtotal="0">
      <items count="3">
        <item x="0"/>
        <item x="1"/>
        <item x="2"/>
      </items>
    </pivotField>
    <pivotField showAll="0" defaultSubtotal="0">
      <items count="12">
        <item x="11"/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19">
        <item x="12"/>
        <item x="6"/>
        <item x="16"/>
        <item x="14"/>
        <item x="5"/>
        <item x="13"/>
        <item x="15"/>
        <item x="7"/>
        <item x="11"/>
        <item x="2"/>
        <item x="8"/>
        <item x="3"/>
        <item x="17"/>
        <item x="4"/>
        <item x="9"/>
        <item x="10"/>
        <item x="0"/>
        <item x="18"/>
        <item x="1"/>
      </items>
    </pivotField>
    <pivotField dataField="1" showAll="0" defaultSubtotal="0">
      <items count="19">
        <item x="0"/>
        <item x="12"/>
        <item x="7"/>
        <item x="6"/>
        <item x="18"/>
        <item x="10"/>
        <item x="13"/>
        <item x="4"/>
        <item x="9"/>
        <item x="8"/>
        <item x="3"/>
        <item x="14"/>
        <item x="5"/>
        <item x="16"/>
        <item x="11"/>
        <item x="15"/>
        <item x="17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6">
        <item x="35"/>
        <item x="17"/>
        <item x="22"/>
        <item x="32"/>
        <item x="25"/>
        <item x="31"/>
        <item x="11"/>
        <item x="3"/>
        <item x="15"/>
        <item x="16"/>
        <item x="33"/>
        <item x="21"/>
        <item x="23"/>
        <item x="29"/>
        <item x="6"/>
        <item x="28"/>
        <item x="14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34" headerRowDxfId="33" dataDxfId="32" totalsRowDxfId="31">
  <autoFilter ref="A5:K134" xr:uid="{00000000-0009-0000-0100-000002000000}">
    <filterColumn colId="10">
      <customFilters>
        <customFilter val="*165*"/>
      </customFilters>
    </filterColumn>
  </autoFilter>
  <tableColumns count="11">
    <tableColumn id="1" xr3:uid="{00000000-0010-0000-0000-000001000000}" name="Arrival" totalsRowLabel="Total" dataDxfId="30" totalsRowDxfId="29"/>
    <tableColumn id="2" xr3:uid="{00000000-0010-0000-0000-000002000000}" name="Specs" dataDxfId="28" totalsRowDxfId="27"/>
    <tableColumn id="3" xr3:uid="{00000000-0010-0000-0000-000003000000}" name="Width" dataDxfId="26" totalsRowDxfId="25"/>
    <tableColumn id="9" xr3:uid="{00000000-0010-0000-0000-000009000000}" name="Slitting" dataDxfId="24" totalsRowDxfId="23"/>
    <tableColumn id="4" xr3:uid="{00000000-0010-0000-0000-000004000000}" name="Length" dataDxfId="22" totalsRowDxfId="21"/>
    <tableColumn id="5" xr3:uid="{00000000-0010-0000-0000-000005000000}" name="Roll" dataDxfId="20" totalsRowDxfId="19"/>
    <tableColumn id="6" xr3:uid="{00000000-0010-0000-0000-000006000000}" name="Total" dataDxfId="18" totalsRowDxfId="17">
      <calculatedColumnFormula>F6*E6</calculatedColumnFormula>
    </tableColumn>
    <tableColumn id="7" xr3:uid="{00000000-0010-0000-0000-000007000000}" name="Used" dataDxfId="16" totalsRowDxfId="15"/>
    <tableColumn id="8" xr3:uid="{00000000-0010-0000-0000-000008000000}" name="Remaining" dataDxfId="14" totalsRowDxfId="13">
      <calculatedColumnFormula>G6-H6</calculatedColumnFormula>
    </tableColumn>
    <tableColumn id="10" xr3:uid="{00000000-0010-0000-0000-00000A000000}" name="Lining" dataDxfId="12" totalsRowDxfId="11"/>
    <tableColumn id="11" xr3:uid="{00000000-0010-0000-0000-00000B000000}" name="Index" totalsRowFunction="count" dataDxfId="10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9" dataDxfId="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7"/>
    <tableColumn id="2" xr3:uid="{00000000-0010-0000-0100-000002000000}" name="LINE" dataDxfId="6"/>
    <tableColumn id="3" xr3:uid="{00000000-0010-0000-0100-000003000000}" name="Order Code" dataDxfId="5"/>
    <tableColumn id="4" xr3:uid="{00000000-0010-0000-0100-000004000000}" name="NAME" dataDxfId="4"/>
    <tableColumn id="7" xr3:uid="{00000000-0010-0000-0100-000007000000}" name="REMAINING" dataDxfId="3"/>
    <tableColumn id="6" xr3:uid="{00000000-0010-0000-0100-000006000000}" name="IMPORT DATE" dataDxfId="2"/>
    <tableColumn id="8" xr3:uid="{00000000-0010-0000-0100-000008000000}" name="COLOR STD" dataDxfId="1"/>
    <tableColumn id="9" xr3:uid="{00000000-0010-0000-0100-000009000000}" name="Index" dataDxfId="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6FAE-A0CF-894A-A8D0-6AC1E182427E}">
  <dimension ref="B1:Z1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1.8984375" bestFit="1" customWidth="1"/>
    <col min="10" max="13" width="5.59765625" bestFit="1" customWidth="1"/>
    <col min="14" max="14" width="7.59765625" bestFit="1" customWidth="1"/>
    <col min="15" max="15" width="1.8984375" bestFit="1" customWidth="1"/>
    <col min="16" max="18" width="5.59765625" bestFit="1" customWidth="1"/>
    <col min="19" max="19" width="7.59765625" bestFit="1" customWidth="1"/>
    <col min="20" max="20" width="3.8984375" bestFit="1" customWidth="1"/>
    <col min="21" max="21" width="7.59765625" bestFit="1" customWidth="1"/>
    <col min="22" max="22" width="3.8984375" bestFit="1" customWidth="1"/>
    <col min="23" max="25" width="5.59765625" bestFit="1" customWidth="1"/>
    <col min="26" max="26" width="9.5976562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3.8984375" bestFit="1" customWidth="1"/>
    <col min="35" max="35" width="9.8984375" bestFit="1" customWidth="1"/>
    <col min="36" max="36" width="7.59765625" bestFit="1" customWidth="1"/>
    <col min="37" max="37" width="3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9.59765625" bestFit="1" customWidth="1"/>
    <col min="46" max="46" width="13.8984375" bestFit="1" customWidth="1"/>
    <col min="47" max="47" width="11.8984375" bestFit="1" customWidth="1"/>
  </cols>
  <sheetData>
    <row r="1" spans="2:26" ht="7.5" customHeight="1"/>
    <row r="2" spans="2:26">
      <c r="B2" s="7" t="s">
        <v>201</v>
      </c>
      <c r="C2" s="7" t="s">
        <v>197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</row>
    <row r="3" spans="2:26" ht="23">
      <c r="B3" s="53"/>
      <c r="C3" s="52">
        <v>40</v>
      </c>
      <c r="D3" s="52">
        <v>90</v>
      </c>
      <c r="E3" s="52">
        <v>100</v>
      </c>
      <c r="F3" s="52">
        <v>115</v>
      </c>
      <c r="G3" s="52">
        <v>120</v>
      </c>
      <c r="H3" s="54">
        <v>125</v>
      </c>
      <c r="I3" s="55"/>
      <c r="J3" s="52">
        <v>130</v>
      </c>
      <c r="K3" s="52">
        <v>135</v>
      </c>
      <c r="L3" s="52">
        <v>140</v>
      </c>
      <c r="M3" s="52">
        <v>150</v>
      </c>
      <c r="N3" s="54">
        <v>155</v>
      </c>
      <c r="O3" s="55"/>
      <c r="P3" s="52">
        <v>160</v>
      </c>
      <c r="Q3" s="52">
        <v>165</v>
      </c>
      <c r="R3" s="52">
        <v>175</v>
      </c>
      <c r="S3" s="54">
        <v>185</v>
      </c>
      <c r="T3" s="55"/>
      <c r="U3" s="54">
        <v>205</v>
      </c>
      <c r="V3" s="55"/>
      <c r="W3" s="52">
        <v>210</v>
      </c>
      <c r="X3" s="52">
        <v>215</v>
      </c>
      <c r="Y3" s="52">
        <v>220</v>
      </c>
      <c r="Z3" s="52" t="s">
        <v>320</v>
      </c>
    </row>
    <row r="4" spans="2:26" ht="46">
      <c r="B4" s="7" t="s">
        <v>0</v>
      </c>
      <c r="C4" s="52" t="s">
        <v>257</v>
      </c>
      <c r="D4" s="52" t="s">
        <v>257</v>
      </c>
      <c r="E4" s="52" t="s">
        <v>257</v>
      </c>
      <c r="F4" s="52" t="s">
        <v>257</v>
      </c>
      <c r="G4" s="52" t="s">
        <v>257</v>
      </c>
      <c r="H4" s="52" t="s">
        <v>267</v>
      </c>
      <c r="I4" s="52" t="s">
        <v>257</v>
      </c>
      <c r="J4" s="52" t="s">
        <v>257</v>
      </c>
      <c r="K4" s="52" t="s">
        <v>257</v>
      </c>
      <c r="L4" s="52" t="s">
        <v>257</v>
      </c>
      <c r="M4" s="52" t="s">
        <v>257</v>
      </c>
      <c r="N4" s="52" t="s">
        <v>267</v>
      </c>
      <c r="O4" s="52" t="s">
        <v>257</v>
      </c>
      <c r="P4" s="52" t="s">
        <v>257</v>
      </c>
      <c r="Q4" s="52" t="s">
        <v>257</v>
      </c>
      <c r="R4" s="52" t="s">
        <v>257</v>
      </c>
      <c r="S4" s="52" t="s">
        <v>267</v>
      </c>
      <c r="T4" s="52" t="s">
        <v>257</v>
      </c>
      <c r="U4" s="52" t="s">
        <v>267</v>
      </c>
      <c r="V4" s="52" t="s">
        <v>257</v>
      </c>
      <c r="W4" s="52" t="s">
        <v>257</v>
      </c>
      <c r="X4" s="52" t="s">
        <v>257</v>
      </c>
      <c r="Y4" s="52" t="s">
        <v>257</v>
      </c>
      <c r="Z4" s="52" t="s">
        <v>257</v>
      </c>
    </row>
    <row r="5" spans="2:26">
      <c r="B5" s="5" t="s">
        <v>228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258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800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260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261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>
        <v>520</v>
      </c>
      <c r="M8" s="6"/>
      <c r="N8" s="6"/>
      <c r="O8" s="6"/>
      <c r="P8" s="6">
        <v>50</v>
      </c>
      <c r="Q8" s="6"/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259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307</v>
      </c>
      <c r="C10" s="6"/>
      <c r="D10" s="6"/>
      <c r="E10" s="6"/>
      <c r="F10" s="6"/>
      <c r="G10" s="6"/>
      <c r="H10" s="6"/>
      <c r="I10" s="6"/>
      <c r="J10" s="6"/>
      <c r="K10" s="6"/>
      <c r="L10" s="6">
        <v>500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230</v>
      </c>
      <c r="C11" s="6"/>
      <c r="D11" s="6"/>
      <c r="E11" s="6">
        <v>400</v>
      </c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231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>
        <v>20</v>
      </c>
      <c r="S12" s="6"/>
      <c r="T12" s="6"/>
      <c r="U12" s="6"/>
      <c r="V12" s="6"/>
      <c r="W12" s="6"/>
      <c r="X12" s="6"/>
      <c r="Y12" s="6">
        <v>100</v>
      </c>
      <c r="Z12" s="6"/>
    </row>
    <row r="13" spans="2:26">
      <c r="B13" s="5" t="s">
        <v>12</v>
      </c>
      <c r="C13" s="6"/>
      <c r="D13" s="6">
        <v>1100</v>
      </c>
      <c r="E13" s="6"/>
      <c r="F13" s="6"/>
      <c r="G13" s="6"/>
      <c r="H13" s="6"/>
      <c r="I13" s="6"/>
      <c r="J13" s="6">
        <v>1230</v>
      </c>
      <c r="K13" s="6"/>
      <c r="L13" s="6">
        <v>290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209</v>
      </c>
      <c r="C14" s="6"/>
      <c r="D14" s="6">
        <v>950</v>
      </c>
      <c r="E14" s="6"/>
      <c r="F14" s="6"/>
      <c r="G14" s="6">
        <v>400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293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308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>
        <v>0</v>
      </c>
      <c r="X16" s="6"/>
      <c r="Y16" s="6"/>
      <c r="Z16" s="6"/>
    </row>
    <row r="17" spans="2:26">
      <c r="B17" s="5" t="s">
        <v>253</v>
      </c>
      <c r="C17" s="6"/>
      <c r="D17" s="6">
        <v>1620</v>
      </c>
      <c r="E17" s="6"/>
      <c r="F17" s="6">
        <v>300</v>
      </c>
      <c r="G17" s="6"/>
      <c r="H17" s="6">
        <v>1300</v>
      </c>
      <c r="I17" s="6">
        <v>0</v>
      </c>
      <c r="J17" s="6"/>
      <c r="K17" s="6"/>
      <c r="L17" s="6">
        <v>300</v>
      </c>
      <c r="M17" s="6"/>
      <c r="N17" s="6">
        <v>1200</v>
      </c>
      <c r="O17" s="6">
        <v>0</v>
      </c>
      <c r="P17" s="6"/>
      <c r="Q17" s="6">
        <v>1200</v>
      </c>
      <c r="R17" s="6"/>
      <c r="S17" s="6">
        <v>500</v>
      </c>
      <c r="T17" s="6">
        <v>600</v>
      </c>
      <c r="U17" s="6">
        <v>20</v>
      </c>
      <c r="V17" s="6">
        <v>700</v>
      </c>
      <c r="W17" s="6"/>
      <c r="X17" s="6">
        <v>600</v>
      </c>
      <c r="Y17" s="6"/>
      <c r="Z17" s="6"/>
    </row>
    <row r="18" spans="2:26">
      <c r="B18" s="5" t="s">
        <v>229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2:26">
      <c r="B19" s="5" t="s">
        <v>320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>
        <v>0</v>
      </c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34"/>
  <sheetViews>
    <sheetView tabSelected="1" zoomScale="107" zoomScaleNormal="107" workbookViewId="0">
      <pane ySplit="5" topLeftCell="A6" activePane="bottomLeft" state="frozen"/>
      <selection pane="bottomLeft" activeCell="B124" sqref="B124:B131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2.5976562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29"/>
      <c r="N1" s="29"/>
      <c r="O1" s="29"/>
      <c r="P1" s="29"/>
    </row>
    <row r="2" spans="1:19" ht="22">
      <c r="A2" s="10" t="s">
        <v>321</v>
      </c>
      <c r="B2" s="40" t="s">
        <v>254</v>
      </c>
      <c r="I2" s="58" t="s">
        <v>235</v>
      </c>
      <c r="J2" s="59"/>
      <c r="M2" s="29"/>
      <c r="N2" s="29"/>
      <c r="O2" s="29"/>
      <c r="P2" s="29"/>
    </row>
    <row r="3" spans="1:19" ht="23" thickBot="1">
      <c r="I3" s="56">
        <f>LastSavedTimeStamp()</f>
        <v>44201.33803240741</v>
      </c>
      <c r="J3" s="57"/>
      <c r="M3" s="29"/>
      <c r="N3" s="29"/>
      <c r="O3" s="29"/>
      <c r="P3" s="29"/>
    </row>
    <row r="4" spans="1:19" ht="8" customHeight="1">
      <c r="B4" s="12"/>
      <c r="M4" s="29"/>
      <c r="N4" s="29"/>
      <c r="O4" s="29"/>
      <c r="P4" s="29"/>
    </row>
    <row r="5" spans="1:19" ht="22">
      <c r="A5" s="8" t="s">
        <v>251</v>
      </c>
      <c r="B5" s="11" t="s">
        <v>0</v>
      </c>
      <c r="C5" s="13" t="s">
        <v>197</v>
      </c>
      <c r="D5" s="13" t="s">
        <v>256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252</v>
      </c>
      <c r="K5" s="14" t="s">
        <v>202</v>
      </c>
      <c r="M5" s="29"/>
      <c r="N5" s="29"/>
      <c r="O5" s="29"/>
      <c r="P5" s="29"/>
      <c r="Q5" s="11"/>
      <c r="R5" s="11"/>
      <c r="S5" s="11"/>
    </row>
    <row r="6" spans="1:19" ht="22" hidden="1">
      <c r="A6" s="15" t="s">
        <v>3</v>
      </c>
      <c r="B6" s="19" t="s">
        <v>253</v>
      </c>
      <c r="C6" s="17">
        <v>185</v>
      </c>
      <c r="D6" s="18" t="s">
        <v>267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5" si="1">G6-H6</f>
        <v>0</v>
      </c>
      <c r="J6" s="18"/>
      <c r="K6" s="9" t="str">
        <f>CONCATENATE(Table2[[#This Row],[Specs]],Table2[[#This Row],[Width]],Table2[[#This Row],[Slitting]])</f>
        <v>y ユポ80 MDN 8GB185i 一本刃</v>
      </c>
      <c r="M6" s="29"/>
      <c r="N6" s="29"/>
      <c r="O6" s="29"/>
      <c r="P6" s="29"/>
    </row>
    <row r="7" spans="1:19" ht="22" hidden="1">
      <c r="A7" s="15" t="s">
        <v>4</v>
      </c>
      <c r="B7" s="19" t="s">
        <v>253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>
        <v>600</v>
      </c>
      <c r="I7" s="17">
        <f t="shared" si="1"/>
        <v>0</v>
      </c>
      <c r="J7" s="18"/>
      <c r="K7" s="9" t="str">
        <f>CONCATENATE(Table2[[#This Row],[Specs]],Table2[[#This Row],[Width]],Table2[[#This Row],[Slitting]])</f>
        <v>y ユポ80 MDN 8GB185</v>
      </c>
      <c r="M7" s="29"/>
      <c r="N7" s="29"/>
      <c r="O7" s="29"/>
      <c r="P7" s="29"/>
    </row>
    <row r="8" spans="1:19" ht="22" hidden="1">
      <c r="A8" s="15" t="s">
        <v>5</v>
      </c>
      <c r="B8" s="18" t="s">
        <v>253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29"/>
      <c r="N8" s="29"/>
      <c r="O8" s="29"/>
      <c r="P8" s="29"/>
    </row>
    <row r="9" spans="1:19" ht="22" hidden="1">
      <c r="A9" s="15" t="s">
        <v>6</v>
      </c>
      <c r="B9" s="19" t="s">
        <v>253</v>
      </c>
      <c r="C9" s="17">
        <v>185</v>
      </c>
      <c r="D9" s="18" t="s">
        <v>267</v>
      </c>
      <c r="E9" s="17">
        <v>600</v>
      </c>
      <c r="F9" s="17">
        <v>1</v>
      </c>
      <c r="G9" s="17">
        <f t="shared" si="0"/>
        <v>600</v>
      </c>
      <c r="H9" s="18">
        <v>600</v>
      </c>
      <c r="I9" s="17">
        <f t="shared" si="1"/>
        <v>0</v>
      </c>
      <c r="J9" s="18"/>
      <c r="K9" s="9" t="str">
        <f>CONCATENATE(Table2[[#This Row],[Specs]],Table2[[#This Row],[Width]],Table2[[#This Row],[Slitting]])</f>
        <v>y ユポ80 MDN 8GB185i 一本刃</v>
      </c>
      <c r="M9" s="29"/>
      <c r="N9" s="29"/>
      <c r="O9" s="29"/>
      <c r="P9" s="29"/>
    </row>
    <row r="10" spans="1:19" ht="22" hidden="1">
      <c r="A10" s="15" t="s">
        <v>7</v>
      </c>
      <c r="B10" s="18" t="s">
        <v>258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29"/>
      <c r="N10" s="29"/>
      <c r="O10" s="29"/>
      <c r="P10" s="29"/>
    </row>
    <row r="11" spans="1:19" ht="22" hidden="1">
      <c r="A11" s="15" t="s">
        <v>8</v>
      </c>
      <c r="B11" s="18" t="s">
        <v>253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29"/>
      <c r="N11" s="29"/>
      <c r="O11" s="29"/>
      <c r="P11" s="29"/>
    </row>
    <row r="12" spans="1:19" hidden="1">
      <c r="A12" s="15" t="s">
        <v>9</v>
      </c>
      <c r="B12" s="18" t="s">
        <v>253</v>
      </c>
      <c r="C12" s="17">
        <v>155</v>
      </c>
      <c r="D12" s="18" t="s">
        <v>267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9" t="s">
        <v>253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>
        <v>600</v>
      </c>
      <c r="I13" s="17">
        <f t="shared" si="1"/>
        <v>0</v>
      </c>
      <c r="J13" s="18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8" t="s">
        <v>253</v>
      </c>
      <c r="C15" s="17">
        <v>125</v>
      </c>
      <c r="D15" s="18" t="s">
        <v>267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214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9" t="s">
        <v>253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>
        <v>600</v>
      </c>
      <c r="I16" s="17">
        <f t="shared" si="1"/>
        <v>0</v>
      </c>
      <c r="J16" s="18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9" t="s">
        <v>253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253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8" t="s">
        <v>253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8" t="s">
        <v>258</v>
      </c>
      <c r="C20" s="17">
        <v>150</v>
      </c>
      <c r="D20" s="18"/>
      <c r="E20" s="17">
        <v>600</v>
      </c>
      <c r="F20" s="17">
        <v>1</v>
      </c>
      <c r="G20" s="17">
        <f>F20*E20</f>
        <v>600</v>
      </c>
      <c r="H20" s="18">
        <v>400</v>
      </c>
      <c r="I20" s="17">
        <f t="shared" si="1"/>
        <v>200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253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9" t="s">
        <v>253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214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253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>
        <v>500</v>
      </c>
      <c r="I23" s="17">
        <f t="shared" si="1"/>
        <v>100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253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9" t="s">
        <v>253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600</v>
      </c>
      <c r="I25" s="17">
        <f t="shared" si="1"/>
        <v>0</v>
      </c>
      <c r="J25" s="18" t="s">
        <v>214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8" t="s">
        <v>258</v>
      </c>
      <c r="C26" s="17">
        <v>125</v>
      </c>
      <c r="D26" s="17" t="s">
        <v>267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214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45" t="s">
        <v>253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253</v>
      </c>
      <c r="C28" s="17">
        <v>125</v>
      </c>
      <c r="D28" s="17" t="s">
        <v>267</v>
      </c>
      <c r="E28" s="17">
        <v>600</v>
      </c>
      <c r="F28" s="17">
        <v>1</v>
      </c>
      <c r="G28" s="17">
        <f t="shared" si="0"/>
        <v>600</v>
      </c>
      <c r="H28" s="18">
        <v>500</v>
      </c>
      <c r="I28" s="17">
        <f t="shared" si="1"/>
        <v>100</v>
      </c>
      <c r="J28" s="18" t="s">
        <v>214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6" t="s">
        <v>253</v>
      </c>
      <c r="C29" s="17">
        <v>125</v>
      </c>
      <c r="D29" s="17" t="s">
        <v>267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214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8" t="s">
        <v>209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210</v>
      </c>
      <c r="B31" s="19" t="s">
        <v>253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211</v>
      </c>
      <c r="B32" s="18" t="s">
        <v>209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 hidden="1">
      <c r="A33" s="15" t="s">
        <v>212</v>
      </c>
      <c r="B33" s="18" t="s">
        <v>209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213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209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 hidden="1">
      <c r="A36" s="15" t="s">
        <v>196</v>
      </c>
      <c r="B36" s="16" t="s">
        <v>209</v>
      </c>
      <c r="C36" s="17">
        <v>90</v>
      </c>
      <c r="D36" s="18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 hidden="1">
      <c r="A37" s="15" t="s">
        <v>196</v>
      </c>
      <c r="B37" s="19" t="s">
        <v>253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8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214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253</v>
      </c>
      <c r="C39" s="17">
        <v>90</v>
      </c>
      <c r="D39" s="18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8" t="s">
        <v>214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8" t="s">
        <v>259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213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253</v>
      </c>
      <c r="C42" s="17">
        <v>90</v>
      </c>
      <c r="D42" s="18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8" t="s">
        <v>214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258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214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258</v>
      </c>
      <c r="C44" s="17">
        <v>90</v>
      </c>
      <c r="D44" s="18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8" t="s">
        <v>214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258</v>
      </c>
      <c r="C45" s="17">
        <v>90</v>
      </c>
      <c r="D45" s="18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8" t="s">
        <v>214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258</v>
      </c>
      <c r="C46" s="17">
        <v>90</v>
      </c>
      <c r="D46" s="18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8" t="s">
        <v>214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216</v>
      </c>
      <c r="B47" s="18" t="s">
        <v>262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217</v>
      </c>
      <c r="K47" s="20" t="str">
        <f>CONCATENATE(Table2[[#This Row],[Specs]],Table2[[#This Row],[Width]],Table2[[#This Row],[Slitting]])</f>
        <v>IJPマットコート135</v>
      </c>
    </row>
    <row r="48" spans="1:11" hidden="1">
      <c r="A48" s="15" t="s">
        <v>218</v>
      </c>
      <c r="B48" s="16" t="s">
        <v>253</v>
      </c>
      <c r="C48" s="17">
        <v>205</v>
      </c>
      <c r="D48" s="17" t="s">
        <v>267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219</v>
      </c>
      <c r="K48" s="20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218</v>
      </c>
      <c r="B49" s="18" t="s">
        <v>209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220</v>
      </c>
      <c r="K49" s="20" t="str">
        <f>CONCATENATE(Table2[[#This Row],[Specs]],Table2[[#This Row],[Width]],Table2[[#This Row],[Slitting]])</f>
        <v>PET50Sマット120</v>
      </c>
    </row>
    <row r="50" spans="1:11" hidden="1">
      <c r="A50" s="15" t="s">
        <v>218</v>
      </c>
      <c r="B50" s="19" t="s">
        <v>253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8" t="s">
        <v>219</v>
      </c>
      <c r="K50" s="20" t="str">
        <f>CONCATENATE(Table2[[#This Row],[Specs]],Table2[[#This Row],[Width]],Table2[[#This Row],[Slitting]])</f>
        <v>y ユポ80 MDN 8GB215</v>
      </c>
    </row>
    <row r="51" spans="1:11" hidden="1">
      <c r="A51" s="15" t="s">
        <v>221</v>
      </c>
      <c r="B51" s="18" t="s">
        <v>230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222</v>
      </c>
      <c r="K51" s="20" t="str">
        <f>CONCATENATE(Table2[[#This Row],[Specs]],Table2[[#This Row],[Width]],Table2[[#This Row],[Slitting]])</f>
        <v>N 上質&lt;55&gt;ME 7GB100</v>
      </c>
    </row>
    <row r="52" spans="1:11" hidden="1">
      <c r="A52" s="15" t="s">
        <v>218</v>
      </c>
      <c r="B52" s="18" t="s">
        <v>260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222</v>
      </c>
      <c r="K52" s="20" t="str">
        <f>CONCATENATE(Table2[[#This Row],[Specs]],Table2[[#This Row],[Width]],Table2[[#This Row],[Slitting]])</f>
        <v>j 上質&lt;55&gt;PC 7GB100</v>
      </c>
    </row>
    <row r="53" spans="1:11" hidden="1">
      <c r="A53" s="15" t="s">
        <v>223</v>
      </c>
      <c r="B53" s="16" t="s">
        <v>260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219</v>
      </c>
      <c r="K53" s="20" t="str">
        <f>CONCATENATE(Table2[[#This Row],[Specs]],Table2[[#This Row],[Width]],Table2[[#This Row],[Slitting]])</f>
        <v>j 上質&lt;55&gt;PC 7GB100</v>
      </c>
    </row>
    <row r="54" spans="1:11" hidden="1">
      <c r="A54" s="15" t="s">
        <v>223</v>
      </c>
      <c r="B54" s="19" t="s">
        <v>253</v>
      </c>
      <c r="C54" s="17">
        <v>125</v>
      </c>
      <c r="D54" s="17" t="s">
        <v>267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222</v>
      </c>
      <c r="K54" s="20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221</v>
      </c>
      <c r="B55" s="16" t="s">
        <v>231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224</v>
      </c>
      <c r="K55" s="20" t="str">
        <f>CONCATENATE(Table2[[#This Row],[Specs]],Table2[[#This Row],[Width]],Table2[[#This Row],[Slitting]])</f>
        <v>N 上質&lt;55&gt;ME 80E175</v>
      </c>
    </row>
    <row r="56" spans="1:11" hidden="1">
      <c r="A56" s="15" t="s">
        <v>218</v>
      </c>
      <c r="B56" s="18" t="s">
        <v>230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222</v>
      </c>
      <c r="K56" s="20" t="str">
        <f>CONCATENATE(Table2[[#This Row],[Specs]],Table2[[#This Row],[Width]],Table2[[#This Row],[Slitting]])</f>
        <v>N 上質&lt;55&gt;ME 7GB100</v>
      </c>
    </row>
    <row r="57" spans="1:11" hidden="1">
      <c r="A57" s="15" t="s">
        <v>223</v>
      </c>
      <c r="B57" s="18" t="s">
        <v>263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225</v>
      </c>
      <c r="B58" s="18" t="s">
        <v>263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 hidden="1">
      <c r="A59" s="15" t="s">
        <v>218</v>
      </c>
      <c r="B59" s="19" t="s">
        <v>261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 hidden="1">
      <c r="A60" s="15" t="s">
        <v>226</v>
      </c>
      <c r="B60" s="19" t="s">
        <v>253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 hidden="1">
      <c r="A61" s="15" t="s">
        <v>227</v>
      </c>
      <c r="B61" s="32" t="s">
        <v>253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 hidden="1">
      <c r="A62" s="15" t="s">
        <v>223</v>
      </c>
      <c r="B62" s="19" t="s">
        <v>274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 hidden="1">
      <c r="A63" s="15" t="s">
        <v>218</v>
      </c>
      <c r="B63" s="19" t="s">
        <v>253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250</v>
      </c>
      <c r="B64" s="19" t="s">
        <v>253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250</v>
      </c>
      <c r="B65" s="19" t="s">
        <v>253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 hidden="1">
      <c r="A66" s="15" t="s">
        <v>265</v>
      </c>
      <c r="B66" s="19" t="s">
        <v>253</v>
      </c>
      <c r="C66" s="17">
        <v>155</v>
      </c>
      <c r="D66" s="17"/>
      <c r="E66" s="17">
        <v>600</v>
      </c>
      <c r="F66" s="17">
        <v>1</v>
      </c>
      <c r="G66" s="17">
        <f t="shared" ref="G66:G72" si="3">F66*E66</f>
        <v>600</v>
      </c>
      <c r="H66" s="17">
        <v>600</v>
      </c>
      <c r="I66" s="17">
        <f t="shared" ref="I66:I72" si="4">G66-H66</f>
        <v>0</v>
      </c>
      <c r="J66" s="18" t="s">
        <v>214</v>
      </c>
      <c r="K66" s="20" t="str">
        <f>CONCATENATE(Table2[[#This Row],[Specs]],Table2[[#This Row],[Width]],Table2[[#This Row],[Slitting]])</f>
        <v>y ユポ80 MDN 8GB155</v>
      </c>
    </row>
    <row r="67" spans="1:11" hidden="1">
      <c r="A67" s="15" t="s">
        <v>265</v>
      </c>
      <c r="B67" s="19" t="s">
        <v>253</v>
      </c>
      <c r="C67" s="17">
        <v>185</v>
      </c>
      <c r="D67" s="17" t="s">
        <v>267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8" t="s">
        <v>214</v>
      </c>
      <c r="K67" s="20" t="str">
        <f>CONCATENATE(Table2[[#This Row],[Specs]],Table2[[#This Row],[Width]],Table2[[#This Row],[Slitting]])</f>
        <v>y ユポ80 MDN 8GB185i 一本刃</v>
      </c>
    </row>
    <row r="68" spans="1:11" hidden="1">
      <c r="A68" s="15" t="s">
        <v>196</v>
      </c>
      <c r="B68" s="19" t="s">
        <v>253</v>
      </c>
      <c r="C68" s="17">
        <v>155</v>
      </c>
      <c r="D68" s="17" t="s">
        <v>267</v>
      </c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8" t="s">
        <v>214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268</v>
      </c>
      <c r="B69" s="19" t="s">
        <v>253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268</v>
      </c>
      <c r="B70" s="19" t="s">
        <v>253</v>
      </c>
      <c r="C70" s="17">
        <v>165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 hidden="1">
      <c r="A71" s="15" t="s">
        <v>196</v>
      </c>
      <c r="B71" s="19" t="s">
        <v>253</v>
      </c>
      <c r="C71" s="17">
        <v>185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8"/>
      <c r="K71" s="20" t="str">
        <f>CONCATENATE(Table2[[#This Row],[Specs]],Table2[[#This Row],[Width]],Table2[[#This Row],[Slitting]])</f>
        <v>y ユポ80 MDN 8GB185</v>
      </c>
    </row>
    <row r="72" spans="1:11" hidden="1">
      <c r="A72" s="15" t="s">
        <v>270</v>
      </c>
      <c r="B72" s="19" t="s">
        <v>12</v>
      </c>
      <c r="C72" s="17">
        <v>90</v>
      </c>
      <c r="D72" s="17"/>
      <c r="E72" s="17">
        <v>600</v>
      </c>
      <c r="F72" s="17">
        <v>1</v>
      </c>
      <c r="G72" s="17">
        <f t="shared" si="3"/>
        <v>600</v>
      </c>
      <c r="H72" s="17">
        <v>600</v>
      </c>
      <c r="I72" s="17">
        <f t="shared" si="4"/>
        <v>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269</v>
      </c>
      <c r="B73" s="19" t="s">
        <v>253</v>
      </c>
      <c r="C73" s="17">
        <v>165</v>
      </c>
      <c r="D73" s="17"/>
      <c r="E73" s="17">
        <v>600</v>
      </c>
      <c r="F73" s="17">
        <v>1</v>
      </c>
      <c r="G73" s="17">
        <f t="shared" ref="G73:G79" si="5">F73*E73</f>
        <v>600</v>
      </c>
      <c r="H73" s="17">
        <v>600</v>
      </c>
      <c r="I73" s="17">
        <f t="shared" ref="I73:I79" si="6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 hidden="1">
      <c r="A74" s="15" t="s">
        <v>269</v>
      </c>
      <c r="B74" s="18" t="s">
        <v>229</v>
      </c>
      <c r="C74" s="17">
        <v>40</v>
      </c>
      <c r="D74" s="17"/>
      <c r="E74" s="17">
        <v>80</v>
      </c>
      <c r="F74" s="17">
        <v>1</v>
      </c>
      <c r="G74" s="17">
        <f t="shared" si="5"/>
        <v>80</v>
      </c>
      <c r="H74" s="17"/>
      <c r="I74" s="17">
        <f t="shared" si="6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 hidden="1">
      <c r="A75" s="15" t="s">
        <v>269</v>
      </c>
      <c r="B75" s="18" t="s">
        <v>229</v>
      </c>
      <c r="C75" s="17">
        <v>100</v>
      </c>
      <c r="D75" s="17"/>
      <c r="E75" s="17">
        <v>400</v>
      </c>
      <c r="F75" s="17">
        <v>1</v>
      </c>
      <c r="G75" s="17">
        <f t="shared" si="5"/>
        <v>400</v>
      </c>
      <c r="H75" s="17"/>
      <c r="I75" s="17">
        <f t="shared" si="6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272</v>
      </c>
      <c r="B76" s="19" t="s">
        <v>253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272</v>
      </c>
      <c r="B77" s="19" t="s">
        <v>253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272</v>
      </c>
      <c r="B78" s="19" t="s">
        <v>253</v>
      </c>
      <c r="C78" s="17">
        <v>165</v>
      </c>
      <c r="D78" s="17"/>
      <c r="E78" s="17">
        <v>600</v>
      </c>
      <c r="F78" s="17">
        <v>1</v>
      </c>
      <c r="G78" s="17">
        <f t="shared" si="5"/>
        <v>600</v>
      </c>
      <c r="H78" s="17">
        <v>600</v>
      </c>
      <c r="I78" s="17">
        <f t="shared" si="6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 hidden="1">
      <c r="A79" s="15" t="s">
        <v>196</v>
      </c>
      <c r="B79" s="18" t="s">
        <v>229</v>
      </c>
      <c r="C79" s="17">
        <v>100</v>
      </c>
      <c r="D79" s="17"/>
      <c r="E79" s="17">
        <v>400</v>
      </c>
      <c r="F79" s="17">
        <v>1</v>
      </c>
      <c r="G79" s="17">
        <f t="shared" si="5"/>
        <v>400</v>
      </c>
      <c r="H79" s="17">
        <v>380</v>
      </c>
      <c r="I79" s="17">
        <f t="shared" si="6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 hidden="1">
      <c r="A80" s="15" t="s">
        <v>275</v>
      </c>
      <c r="B80" s="19" t="s">
        <v>253</v>
      </c>
      <c r="C80" s="17">
        <v>125</v>
      </c>
      <c r="D80" s="17"/>
      <c r="E80" s="17">
        <v>600</v>
      </c>
      <c r="F80" s="17">
        <v>1</v>
      </c>
      <c r="G80" s="17">
        <f t="shared" ref="G80:G85" si="7">F80*E80</f>
        <v>600</v>
      </c>
      <c r="H80" s="17">
        <v>600</v>
      </c>
      <c r="I80" s="17">
        <f t="shared" ref="I80:I85" si="8">G80-H80</f>
        <v>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277</v>
      </c>
      <c r="B81" s="19" t="s">
        <v>278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277</v>
      </c>
      <c r="B82" s="19" t="s">
        <v>278</v>
      </c>
      <c r="C82" s="17">
        <v>165</v>
      </c>
      <c r="D82" s="17"/>
      <c r="E82" s="17">
        <v>600</v>
      </c>
      <c r="F82" s="17">
        <v>1</v>
      </c>
      <c r="G82" s="17">
        <f t="shared" si="7"/>
        <v>600</v>
      </c>
      <c r="H82" s="17">
        <v>600</v>
      </c>
      <c r="I82" s="17">
        <f t="shared" si="8"/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1" t="s">
        <v>276</v>
      </c>
      <c r="B83" s="44" t="s">
        <v>253</v>
      </c>
      <c r="C83" s="42">
        <v>165</v>
      </c>
      <c r="D83" s="42"/>
      <c r="E83" s="42">
        <v>600</v>
      </c>
      <c r="F83" s="42">
        <v>1</v>
      </c>
      <c r="G83" s="17">
        <f t="shared" si="7"/>
        <v>600</v>
      </c>
      <c r="H83" s="42">
        <v>600</v>
      </c>
      <c r="I83" s="17">
        <f t="shared" si="8"/>
        <v>0</v>
      </c>
      <c r="J83" s="43"/>
      <c r="K83" s="20" t="str">
        <f>CONCATENATE(Table2[[#This Row],[Specs]],Table2[[#This Row],[Width]],Table2[[#This Row],[Slitting]])</f>
        <v>y ユポ80 MDN 8GB165</v>
      </c>
    </row>
    <row r="84" spans="1:11" hidden="1">
      <c r="A84" s="41" t="s">
        <v>276</v>
      </c>
      <c r="B84" s="44" t="s">
        <v>253</v>
      </c>
      <c r="C84" s="42">
        <v>140</v>
      </c>
      <c r="D84" s="42"/>
      <c r="E84" s="42">
        <v>600</v>
      </c>
      <c r="F84" s="42">
        <v>1</v>
      </c>
      <c r="G84" s="17">
        <f t="shared" si="7"/>
        <v>600</v>
      </c>
      <c r="H84" s="42">
        <v>600</v>
      </c>
      <c r="I84" s="17">
        <f t="shared" si="8"/>
        <v>0</v>
      </c>
      <c r="J84" s="43"/>
      <c r="K84" s="20" t="str">
        <f>CONCATENATE(Table2[[#This Row],[Specs]],Table2[[#This Row],[Width]],Table2[[#This Row],[Slitting]])</f>
        <v>y ユポ80 MDN 8GB140</v>
      </c>
    </row>
    <row r="85" spans="1:11" hidden="1">
      <c r="A85" s="15" t="s">
        <v>279</v>
      </c>
      <c r="B85" s="19" t="s">
        <v>280</v>
      </c>
      <c r="C85" s="17">
        <v>90</v>
      </c>
      <c r="D85" s="17"/>
      <c r="E85" s="17">
        <v>600</v>
      </c>
      <c r="F85" s="17">
        <v>1</v>
      </c>
      <c r="G85" s="17">
        <f t="shared" si="7"/>
        <v>600</v>
      </c>
      <c r="H85" s="17">
        <v>600</v>
      </c>
      <c r="I85" s="17">
        <f t="shared" si="8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 hidden="1">
      <c r="A86" s="15" t="s">
        <v>281</v>
      </c>
      <c r="B86" s="19" t="s">
        <v>253</v>
      </c>
      <c r="C86" s="17">
        <v>140</v>
      </c>
      <c r="D86" s="17"/>
      <c r="E86" s="17">
        <v>600</v>
      </c>
      <c r="F86" s="17">
        <v>1</v>
      </c>
      <c r="G86" s="17">
        <f t="shared" ref="G86:G94" si="9">F86*E86</f>
        <v>600</v>
      </c>
      <c r="H86" s="17">
        <v>600</v>
      </c>
      <c r="I86" s="17">
        <f t="shared" ref="I86:I94" si="10">G86-H86</f>
        <v>0</v>
      </c>
      <c r="J86" s="18"/>
      <c r="K86" s="20" t="str">
        <f>CONCATENATE(Table2[[#This Row],[Specs]],Table2[[#This Row],[Width]],Table2[[#This Row],[Slitting]])</f>
        <v>y ユポ80 MDN 8GB140</v>
      </c>
    </row>
    <row r="87" spans="1:11">
      <c r="A87" s="15" t="s">
        <v>283</v>
      </c>
      <c r="B87" s="19" t="s">
        <v>284</v>
      </c>
      <c r="C87" s="17">
        <v>165</v>
      </c>
      <c r="D87" s="17"/>
      <c r="E87" s="17">
        <v>600</v>
      </c>
      <c r="F87" s="17">
        <v>1</v>
      </c>
      <c r="G87" s="17">
        <f t="shared" si="9"/>
        <v>600</v>
      </c>
      <c r="H87" s="17">
        <v>600</v>
      </c>
      <c r="I87" s="17">
        <f t="shared" si="10"/>
        <v>0</v>
      </c>
      <c r="J87" s="18"/>
      <c r="K87" s="20" t="str">
        <f>CONCATENATE(Table2[[#This Row],[Specs]],Table2[[#This Row],[Width]],Table2[[#This Row],[Slitting]])</f>
        <v>Y ユポ80 MDN 8GB165</v>
      </c>
    </row>
    <row r="88" spans="1:11" hidden="1">
      <c r="A88" s="15" t="s">
        <v>283</v>
      </c>
      <c r="B88" s="19" t="s">
        <v>12</v>
      </c>
      <c r="C88" s="17">
        <v>90</v>
      </c>
      <c r="D88" s="17"/>
      <c r="E88" s="17">
        <v>300</v>
      </c>
      <c r="F88" s="17">
        <v>1</v>
      </c>
      <c r="G88" s="17">
        <f t="shared" si="9"/>
        <v>300</v>
      </c>
      <c r="H88" s="17">
        <v>300</v>
      </c>
      <c r="I88" s="17">
        <f t="shared" si="10"/>
        <v>0</v>
      </c>
      <c r="J88" s="18"/>
      <c r="K88" s="20" t="str">
        <f>CONCATENATE(Table2[[#This Row],[Specs]],Table2[[#This Row],[Width]],Table2[[#This Row],[Slitting]])</f>
        <v>Nキャスト&lt;73&gt;ME80E90</v>
      </c>
    </row>
    <row r="89" spans="1:11" hidden="1">
      <c r="A89" s="15" t="s">
        <v>285</v>
      </c>
      <c r="B89" s="16" t="s">
        <v>12</v>
      </c>
      <c r="C89" s="17">
        <v>140</v>
      </c>
      <c r="D89" s="17"/>
      <c r="E89" s="17">
        <v>300</v>
      </c>
      <c r="F89" s="17">
        <v>1</v>
      </c>
      <c r="G89" s="17">
        <f t="shared" si="9"/>
        <v>300</v>
      </c>
      <c r="H89" s="17">
        <v>10</v>
      </c>
      <c r="I89" s="17">
        <f t="shared" si="10"/>
        <v>290</v>
      </c>
      <c r="J89" s="18"/>
      <c r="K89" s="20" t="str">
        <f>CONCATENATE(Table2[[#This Row],[Specs]],Table2[[#This Row],[Width]],Table2[[#This Row],[Slitting]])</f>
        <v>Nキャスト&lt;73&gt;ME80E140</v>
      </c>
    </row>
    <row r="90" spans="1:11" hidden="1">
      <c r="A90" s="15" t="s">
        <v>286</v>
      </c>
      <c r="B90" s="19" t="s">
        <v>231</v>
      </c>
      <c r="C90" s="17">
        <v>220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8"/>
      <c r="K90" s="20" t="str">
        <f>CONCATENATE(Table2[[#This Row],[Specs]],Table2[[#This Row],[Width]],Table2[[#This Row],[Slitting]])</f>
        <v>N 上質&lt;55&gt;ME 80E220</v>
      </c>
    </row>
    <row r="91" spans="1:11">
      <c r="A91" s="15" t="s">
        <v>287</v>
      </c>
      <c r="B91" s="19" t="s">
        <v>253</v>
      </c>
      <c r="C91" s="17">
        <v>165</v>
      </c>
      <c r="D91" s="17"/>
      <c r="E91" s="17">
        <v>600</v>
      </c>
      <c r="F91" s="17">
        <v>1</v>
      </c>
      <c r="G91" s="17">
        <f t="shared" si="9"/>
        <v>600</v>
      </c>
      <c r="H91" s="17">
        <v>600</v>
      </c>
      <c r="I91" s="17">
        <f t="shared" si="10"/>
        <v>0</v>
      </c>
      <c r="J91" s="18"/>
      <c r="K91" s="20" t="str">
        <f>CONCATENATE(Table2[[#This Row],[Specs]],Table2[[#This Row],[Width]],Table2[[#This Row],[Slitting]])</f>
        <v>y ユポ80 MDN 8GB165</v>
      </c>
    </row>
    <row r="92" spans="1:11" hidden="1">
      <c r="A92" s="15" t="s">
        <v>287</v>
      </c>
      <c r="B92" s="18" t="s">
        <v>253</v>
      </c>
      <c r="C92" s="17">
        <v>215</v>
      </c>
      <c r="D92" s="17"/>
      <c r="E92" s="17">
        <v>600</v>
      </c>
      <c r="F92" s="17">
        <v>1</v>
      </c>
      <c r="G92" s="17">
        <f t="shared" si="9"/>
        <v>600</v>
      </c>
      <c r="H92" s="17"/>
      <c r="I92" s="17">
        <f t="shared" si="10"/>
        <v>600</v>
      </c>
      <c r="J92" s="18"/>
      <c r="K92" s="20" t="str">
        <f>CONCATENATE(Table2[[#This Row],[Specs]],Table2[[#This Row],[Width]],Table2[[#This Row],[Slitting]])</f>
        <v>y ユポ80 MDN 8GB215</v>
      </c>
    </row>
    <row r="93" spans="1:11" hidden="1">
      <c r="A93" s="15" t="s">
        <v>286</v>
      </c>
      <c r="B93" s="16" t="s">
        <v>231</v>
      </c>
      <c r="C93" s="17">
        <v>220</v>
      </c>
      <c r="D93" s="17"/>
      <c r="E93" s="17">
        <v>500</v>
      </c>
      <c r="F93" s="17">
        <v>1</v>
      </c>
      <c r="G93" s="17">
        <f t="shared" si="9"/>
        <v>500</v>
      </c>
      <c r="H93" s="17">
        <v>400</v>
      </c>
      <c r="I93" s="17">
        <f t="shared" si="10"/>
        <v>100</v>
      </c>
      <c r="J93" s="18"/>
      <c r="K93" s="20" t="str">
        <f>CONCATENATE(Table2[[#This Row],[Specs]],Table2[[#This Row],[Width]],Table2[[#This Row],[Slitting]])</f>
        <v>N 上質&lt;55&gt;ME 80E220</v>
      </c>
    </row>
    <row r="94" spans="1:11" hidden="1">
      <c r="A94" s="15" t="s">
        <v>289</v>
      </c>
      <c r="B94" s="19" t="s">
        <v>253</v>
      </c>
      <c r="C94" s="17">
        <v>155</v>
      </c>
      <c r="D94" s="17"/>
      <c r="E94" s="17">
        <v>600</v>
      </c>
      <c r="F94" s="17">
        <v>1</v>
      </c>
      <c r="G94" s="17">
        <f t="shared" si="9"/>
        <v>600</v>
      </c>
      <c r="H94" s="17">
        <v>600</v>
      </c>
      <c r="I94" s="17">
        <f t="shared" si="10"/>
        <v>0</v>
      </c>
      <c r="J94" s="18"/>
      <c r="K94" s="20" t="str">
        <f>CONCATENATE(Table2[[#This Row],[Specs]],Table2[[#This Row],[Width]],Table2[[#This Row],[Slitting]])</f>
        <v>y ユポ80 MDN 8GB155</v>
      </c>
    </row>
    <row r="95" spans="1:11" hidden="1">
      <c r="A95" s="15" t="s">
        <v>289</v>
      </c>
      <c r="B95" s="18" t="s">
        <v>12</v>
      </c>
      <c r="C95" s="17">
        <v>90</v>
      </c>
      <c r="D95" s="17"/>
      <c r="E95" s="17">
        <v>600</v>
      </c>
      <c r="F95" s="17">
        <v>1</v>
      </c>
      <c r="G95" s="17">
        <f t="shared" ref="G95:G100" si="11">F95*E95</f>
        <v>600</v>
      </c>
      <c r="H95" s="17"/>
      <c r="I95" s="17">
        <f t="shared" ref="I95:I100" si="12">G95-H95</f>
        <v>600</v>
      </c>
      <c r="J95" s="18"/>
      <c r="K95" s="20" t="str">
        <f>CONCATENATE(Table2[[#This Row],[Specs]],Table2[[#This Row],[Width]],Table2[[#This Row],[Slitting]])</f>
        <v>Nキャスト&lt;73&gt;ME80E90</v>
      </c>
    </row>
    <row r="96" spans="1:11" hidden="1">
      <c r="A96" s="15" t="s">
        <v>289</v>
      </c>
      <c r="B96" s="16" t="s">
        <v>12</v>
      </c>
      <c r="C96" s="17">
        <v>90</v>
      </c>
      <c r="D96" s="17"/>
      <c r="E96" s="17">
        <v>600</v>
      </c>
      <c r="F96" s="17">
        <v>1</v>
      </c>
      <c r="G96" s="17">
        <f t="shared" si="11"/>
        <v>600</v>
      </c>
      <c r="H96" s="17">
        <v>200</v>
      </c>
      <c r="I96" s="17">
        <f t="shared" si="12"/>
        <v>400</v>
      </c>
      <c r="J96" s="18"/>
      <c r="K96" s="20" t="str">
        <f>CONCATENATE(Table2[[#This Row],[Specs]],Table2[[#This Row],[Width]],Table2[[#This Row],[Slitting]])</f>
        <v>Nキャスト&lt;73&gt;ME80E90</v>
      </c>
    </row>
    <row r="97" spans="1:11">
      <c r="A97" s="15" t="s">
        <v>289</v>
      </c>
      <c r="B97" s="19" t="s">
        <v>253</v>
      </c>
      <c r="C97" s="17">
        <v>165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8"/>
      <c r="K97" s="20" t="str">
        <f>CONCATENATE(Table2[[#This Row],[Specs]],Table2[[#This Row],[Width]],Table2[[#This Row],[Slitting]])</f>
        <v>y ユポ80 MDN 8GB165</v>
      </c>
    </row>
    <row r="98" spans="1:11" hidden="1">
      <c r="A98" s="15" t="s">
        <v>289</v>
      </c>
      <c r="B98" s="19" t="s">
        <v>253</v>
      </c>
      <c r="C98" s="17">
        <v>155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8"/>
      <c r="K98" s="20" t="str">
        <f>CONCATENATE(Table2[[#This Row],[Specs]],Table2[[#This Row],[Width]],Table2[[#This Row],[Slitting]])</f>
        <v>y ユポ80 MDN 8GB155</v>
      </c>
    </row>
    <row r="99" spans="1:11" hidden="1">
      <c r="A99" s="15" t="s">
        <v>289</v>
      </c>
      <c r="B99" s="16" t="s">
        <v>12</v>
      </c>
      <c r="C99" s="17">
        <v>90</v>
      </c>
      <c r="D99" s="17"/>
      <c r="E99" s="17">
        <v>600</v>
      </c>
      <c r="F99" s="17">
        <v>1</v>
      </c>
      <c r="G99" s="17">
        <f t="shared" si="11"/>
        <v>600</v>
      </c>
      <c r="H99" s="17">
        <v>500</v>
      </c>
      <c r="I99" s="17">
        <f t="shared" si="12"/>
        <v>100</v>
      </c>
      <c r="J99" s="18"/>
      <c r="K99" s="20" t="str">
        <f>CONCATENATE(Table2[[#This Row],[Specs]],Table2[[#This Row],[Width]],Table2[[#This Row],[Slitting]])</f>
        <v>Nキャスト&lt;73&gt;ME80E90</v>
      </c>
    </row>
    <row r="100" spans="1:11">
      <c r="A100" s="15" t="s">
        <v>290</v>
      </c>
      <c r="B100" s="19" t="s">
        <v>253</v>
      </c>
      <c r="C100" s="17">
        <v>165</v>
      </c>
      <c r="D100" s="17"/>
      <c r="E100" s="17">
        <v>600</v>
      </c>
      <c r="F100" s="17">
        <v>1</v>
      </c>
      <c r="G100" s="17">
        <f t="shared" si="11"/>
        <v>600</v>
      </c>
      <c r="H100" s="17">
        <v>600</v>
      </c>
      <c r="I100" s="17">
        <f t="shared" si="12"/>
        <v>0</v>
      </c>
      <c r="J100" s="18"/>
      <c r="K100" s="20" t="str">
        <f>CONCATENATE(Table2[[#This Row],[Specs]],Table2[[#This Row],[Width]],Table2[[#This Row],[Slitting]])</f>
        <v>y ユポ80 MDN 8GB165</v>
      </c>
    </row>
    <row r="101" spans="1:11">
      <c r="A101" s="15" t="s">
        <v>290</v>
      </c>
      <c r="B101" s="19" t="s">
        <v>253</v>
      </c>
      <c r="C101" s="17">
        <v>165</v>
      </c>
      <c r="D101" s="17"/>
      <c r="E101" s="17">
        <v>600</v>
      </c>
      <c r="F101" s="17">
        <v>1</v>
      </c>
      <c r="G101" s="17">
        <f t="shared" ref="G101:G106" si="13">F101*E101</f>
        <v>600</v>
      </c>
      <c r="H101" s="17">
        <v>600</v>
      </c>
      <c r="I101" s="17">
        <f t="shared" ref="I101:I106" si="14">G101-H101</f>
        <v>0</v>
      </c>
      <c r="J101" s="18"/>
      <c r="K101" s="20" t="str">
        <f>CONCATENATE(Table2[[#This Row],[Specs]],Table2[[#This Row],[Width]],Table2[[#This Row],[Slitting]])</f>
        <v>y ユポ80 MDN 8GB165</v>
      </c>
    </row>
    <row r="102" spans="1:11">
      <c r="A102" s="15" t="s">
        <v>291</v>
      </c>
      <c r="B102" s="19" t="s">
        <v>253</v>
      </c>
      <c r="C102" s="17">
        <v>165</v>
      </c>
      <c r="D102" s="17"/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8"/>
      <c r="K102" s="20" t="str">
        <f>CONCATENATE(Table2[[#This Row],[Specs]],Table2[[#This Row],[Width]],Table2[[#This Row],[Slitting]])</f>
        <v>y ユポ80 MDN 8GB165</v>
      </c>
    </row>
    <row r="103" spans="1:11" hidden="1">
      <c r="A103" s="15" t="s">
        <v>291</v>
      </c>
      <c r="B103" s="16" t="s">
        <v>253</v>
      </c>
      <c r="C103" s="17">
        <v>185</v>
      </c>
      <c r="D103" s="17" t="s">
        <v>267</v>
      </c>
      <c r="E103" s="17">
        <v>600</v>
      </c>
      <c r="F103" s="17">
        <v>1</v>
      </c>
      <c r="G103" s="17">
        <f t="shared" si="13"/>
        <v>600</v>
      </c>
      <c r="H103" s="17">
        <v>100</v>
      </c>
      <c r="I103" s="17">
        <f t="shared" si="14"/>
        <v>500</v>
      </c>
      <c r="J103" s="18"/>
      <c r="K103" s="20" t="str">
        <f>CONCATENATE(Table2[[#This Row],[Specs]],Table2[[#This Row],[Width]],Table2[[#This Row],[Slitting]])</f>
        <v>y ユポ80 MDN 8GB185i 一本刃</v>
      </c>
    </row>
    <row r="104" spans="1:11">
      <c r="A104" s="15" t="s">
        <v>291</v>
      </c>
      <c r="B104" s="19" t="s">
        <v>253</v>
      </c>
      <c r="C104" s="17">
        <v>165</v>
      </c>
      <c r="D104" s="17"/>
      <c r="E104" s="17">
        <v>600</v>
      </c>
      <c r="F104" s="17">
        <v>1</v>
      </c>
      <c r="G104" s="17">
        <f t="shared" si="13"/>
        <v>600</v>
      </c>
      <c r="H104" s="17">
        <v>600</v>
      </c>
      <c r="I104" s="17">
        <f t="shared" si="14"/>
        <v>0</v>
      </c>
      <c r="J104" s="18"/>
      <c r="K104" s="20" t="str">
        <f>CONCATENATE(Table2[[#This Row],[Specs]],Table2[[#This Row],[Width]],Table2[[#This Row],[Slitting]])</f>
        <v>y ユポ80 MDN 8GB165</v>
      </c>
    </row>
    <row r="105" spans="1:11" hidden="1">
      <c r="A105" s="15" t="s">
        <v>292</v>
      </c>
      <c r="B105" s="16" t="s">
        <v>293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8"/>
      <c r="K105" s="20" t="str">
        <f>CONCATENATE(Table2[[#This Row],[Specs]],Table2[[#This Row],[Width]],Table2[[#This Row],[Slitting]])</f>
        <v>SLアートN/P91/g7B100</v>
      </c>
    </row>
    <row r="106" spans="1:11" hidden="1">
      <c r="A106" s="15" t="s">
        <v>294</v>
      </c>
      <c r="B106" s="16" t="s">
        <v>293</v>
      </c>
      <c r="C106" s="17">
        <v>100</v>
      </c>
      <c r="D106" s="17"/>
      <c r="E106" s="17">
        <v>500</v>
      </c>
      <c r="F106" s="17">
        <v>1</v>
      </c>
      <c r="G106" s="17">
        <f t="shared" si="13"/>
        <v>500</v>
      </c>
      <c r="H106" s="17"/>
      <c r="I106" s="17">
        <f t="shared" si="14"/>
        <v>500</v>
      </c>
      <c r="J106" s="18"/>
      <c r="K106" s="20" t="str">
        <f>CONCATENATE(Table2[[#This Row],[Specs]],Table2[[#This Row],[Width]],Table2[[#This Row],[Slitting]])</f>
        <v>SLアートN/P91/g7B100</v>
      </c>
    </row>
    <row r="107" spans="1:11" hidden="1">
      <c r="A107" s="15" t="s">
        <v>294</v>
      </c>
      <c r="B107" s="16" t="s">
        <v>293</v>
      </c>
      <c r="C107" s="17">
        <v>100</v>
      </c>
      <c r="D107" s="17"/>
      <c r="E107" s="17">
        <v>350</v>
      </c>
      <c r="F107" s="17">
        <v>1</v>
      </c>
      <c r="G107" s="17">
        <f t="shared" ref="G107:G112" si="15">F107*E107</f>
        <v>350</v>
      </c>
      <c r="H107" s="17"/>
      <c r="I107" s="17">
        <f t="shared" ref="I107:I112" si="16">G107-H107</f>
        <v>350</v>
      </c>
      <c r="J107" s="18"/>
      <c r="K107" s="20" t="str">
        <f>CONCATENATE(Table2[[#This Row],[Specs]],Table2[[#This Row],[Width]],Table2[[#This Row],[Slitting]])</f>
        <v>SLアートN/P91/g7B100</v>
      </c>
    </row>
    <row r="108" spans="1:11" hidden="1">
      <c r="A108" s="15" t="s">
        <v>294</v>
      </c>
      <c r="B108" s="16" t="s">
        <v>293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/>
      <c r="I108" s="17">
        <f t="shared" si="16"/>
        <v>350</v>
      </c>
      <c r="J108" s="18"/>
      <c r="K108" s="20" t="str">
        <f>CONCATENATE(Table2[[#This Row],[Specs]],Table2[[#This Row],[Width]],Table2[[#This Row],[Slitting]])</f>
        <v>SLアートN/P91/g7B100</v>
      </c>
    </row>
    <row r="109" spans="1:11" hidden="1">
      <c r="A109" s="15" t="s">
        <v>294</v>
      </c>
      <c r="B109" s="16" t="s">
        <v>293</v>
      </c>
      <c r="C109" s="17">
        <v>100</v>
      </c>
      <c r="D109" s="17"/>
      <c r="E109" s="17">
        <v>350</v>
      </c>
      <c r="F109" s="17">
        <v>1</v>
      </c>
      <c r="G109" s="17">
        <f t="shared" si="15"/>
        <v>350</v>
      </c>
      <c r="H109" s="17">
        <v>250</v>
      </c>
      <c r="I109" s="17">
        <f t="shared" si="16"/>
        <v>100</v>
      </c>
      <c r="J109" s="18"/>
      <c r="K109" s="20" t="str">
        <f>CONCATENATE(Table2[[#This Row],[Specs]],Table2[[#This Row],[Width]],Table2[[#This Row],[Slitting]])</f>
        <v>SLアートN/P91/g7B100</v>
      </c>
    </row>
    <row r="110" spans="1:11" hidden="1">
      <c r="A110" s="15" t="s">
        <v>296</v>
      </c>
      <c r="B110" s="16" t="s">
        <v>297</v>
      </c>
      <c r="C110" s="17">
        <v>90</v>
      </c>
      <c r="D110" s="17"/>
      <c r="E110" s="17">
        <v>600</v>
      </c>
      <c r="F110" s="17">
        <v>1</v>
      </c>
      <c r="G110" s="17">
        <f t="shared" si="15"/>
        <v>600</v>
      </c>
      <c r="H110" s="17"/>
      <c r="I110" s="17">
        <f t="shared" si="16"/>
        <v>600</v>
      </c>
      <c r="J110" s="18"/>
      <c r="K110" s="20" t="str">
        <f>CONCATENATE(Table2[[#This Row],[Specs]],Table2[[#This Row],[Width]],Table2[[#This Row],[Slitting]])</f>
        <v>j 上質&lt;70&gt; ME 7GB90</v>
      </c>
    </row>
    <row r="111" spans="1:11" hidden="1">
      <c r="A111" s="15" t="s">
        <v>296</v>
      </c>
      <c r="B111" s="16" t="s">
        <v>297</v>
      </c>
      <c r="C111" s="17">
        <v>140</v>
      </c>
      <c r="D111" s="17"/>
      <c r="E111" s="17">
        <v>600</v>
      </c>
      <c r="F111" s="17">
        <v>1</v>
      </c>
      <c r="G111" s="17">
        <f t="shared" si="15"/>
        <v>600</v>
      </c>
      <c r="H111" s="17">
        <v>80</v>
      </c>
      <c r="I111" s="17">
        <f t="shared" si="16"/>
        <v>520</v>
      </c>
      <c r="J111" s="18"/>
      <c r="K111" s="20" t="str">
        <f>CONCATENATE(Table2[[#This Row],[Specs]],Table2[[#This Row],[Width]],Table2[[#This Row],[Slitting]])</f>
        <v>j 上質&lt;70&gt; ME 7GB140</v>
      </c>
    </row>
    <row r="112" spans="1:11" hidden="1">
      <c r="A112" s="15" t="s">
        <v>299</v>
      </c>
      <c r="B112" s="19" t="s">
        <v>253</v>
      </c>
      <c r="C112" s="17">
        <v>185</v>
      </c>
      <c r="D112" s="17" t="s">
        <v>267</v>
      </c>
      <c r="E112" s="17">
        <v>600</v>
      </c>
      <c r="F112" s="17">
        <v>1</v>
      </c>
      <c r="G112" s="17">
        <f t="shared" si="15"/>
        <v>600</v>
      </c>
      <c r="H112" s="17">
        <v>600</v>
      </c>
      <c r="I112" s="17">
        <f t="shared" si="16"/>
        <v>0</v>
      </c>
      <c r="J112" s="18"/>
      <c r="K112" s="20" t="str">
        <f>CONCATENATE(Table2[[#This Row],[Specs]],Table2[[#This Row],[Width]],Table2[[#This Row],[Slitting]])</f>
        <v>y ユポ80 MDN 8GB185i 一本刃</v>
      </c>
    </row>
    <row r="113" spans="1:11">
      <c r="A113" s="15" t="s">
        <v>300</v>
      </c>
      <c r="B113" s="19" t="s">
        <v>253</v>
      </c>
      <c r="C113" s="17">
        <v>165</v>
      </c>
      <c r="D113" s="17"/>
      <c r="E113" s="17">
        <v>600</v>
      </c>
      <c r="F113" s="17">
        <v>1</v>
      </c>
      <c r="G113" s="17">
        <f t="shared" ref="G113:G120" si="17">F113*E113</f>
        <v>600</v>
      </c>
      <c r="H113" s="17">
        <v>600</v>
      </c>
      <c r="I113" s="17">
        <f t="shared" ref="I113:I120" si="18">G113-H113</f>
        <v>0</v>
      </c>
      <c r="J113" s="18"/>
      <c r="K113" s="20" t="str">
        <f>CONCATENATE(Table2[[#This Row],[Specs]],Table2[[#This Row],[Width]],Table2[[#This Row],[Slitting]])</f>
        <v>y ユポ80 MDN 8GB165</v>
      </c>
    </row>
    <row r="114" spans="1:11">
      <c r="A114" s="15" t="s">
        <v>300</v>
      </c>
      <c r="B114" s="19" t="s">
        <v>253</v>
      </c>
      <c r="C114" s="17">
        <v>165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8"/>
      <c r="K114" s="20" t="str">
        <f>CONCATENATE(Table2[[#This Row],[Specs]],Table2[[#This Row],[Width]],Table2[[#This Row],[Slitting]])</f>
        <v>y ユポ80 MDN 8GB165</v>
      </c>
    </row>
    <row r="115" spans="1:11" hidden="1">
      <c r="A115" s="15" t="s">
        <v>300</v>
      </c>
      <c r="B115" s="19" t="s">
        <v>261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600</v>
      </c>
      <c r="I115" s="17">
        <f t="shared" si="18"/>
        <v>0</v>
      </c>
      <c r="J115" s="18"/>
      <c r="K115" s="20" t="str">
        <f>CONCATENATE(Table2[[#This Row],[Specs]],Table2[[#This Row],[Width]],Table2[[#This Row],[Slitting]])</f>
        <v>j 上質&lt;70&gt; ME 7GB160</v>
      </c>
    </row>
    <row r="116" spans="1:11" hidden="1">
      <c r="A116" s="15" t="s">
        <v>300</v>
      </c>
      <c r="B116" s="16" t="s">
        <v>261</v>
      </c>
      <c r="C116" s="17">
        <v>160</v>
      </c>
      <c r="D116" s="17"/>
      <c r="E116" s="17">
        <v>600</v>
      </c>
      <c r="F116" s="17">
        <v>1</v>
      </c>
      <c r="G116" s="17">
        <f t="shared" si="17"/>
        <v>600</v>
      </c>
      <c r="H116" s="17">
        <v>550</v>
      </c>
      <c r="I116" s="17">
        <f t="shared" si="18"/>
        <v>50</v>
      </c>
      <c r="J116" s="18"/>
      <c r="K116" s="20" t="str">
        <f>CONCATENATE(Table2[[#This Row],[Specs]],Table2[[#This Row],[Width]],Table2[[#This Row],[Slitting]])</f>
        <v>j 上質&lt;70&gt; ME 7GB160</v>
      </c>
    </row>
    <row r="117" spans="1:11">
      <c r="A117" s="15" t="s">
        <v>301</v>
      </c>
      <c r="B117" s="19" t="s">
        <v>253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8"/>
      <c r="K117" s="20" t="str">
        <f>CONCATENATE(Table2[[#This Row],[Specs]],Table2[[#This Row],[Width]],Table2[[#This Row],[Slitting]])</f>
        <v>y ユポ80 MDN 8GB165</v>
      </c>
    </row>
    <row r="118" spans="1:11">
      <c r="A118" s="15" t="s">
        <v>301</v>
      </c>
      <c r="B118" s="19" t="s">
        <v>253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8"/>
      <c r="K118" s="20" t="str">
        <f>CONCATENATE(Table2[[#This Row],[Specs]],Table2[[#This Row],[Width]],Table2[[#This Row],[Slitting]])</f>
        <v>y ユポ80 MDN 8GB165</v>
      </c>
    </row>
    <row r="119" spans="1:11">
      <c r="A119" s="15" t="s">
        <v>301</v>
      </c>
      <c r="B119" s="19" t="s">
        <v>253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8"/>
      <c r="K119" s="20" t="str">
        <f>CONCATENATE(Table2[[#This Row],[Specs]],Table2[[#This Row],[Width]],Table2[[#This Row],[Slitting]])</f>
        <v>y ユポ80 MDN 8GB165</v>
      </c>
    </row>
    <row r="120" spans="1:11">
      <c r="A120" s="15" t="s">
        <v>302</v>
      </c>
      <c r="B120" s="19" t="s">
        <v>253</v>
      </c>
      <c r="C120" s="17">
        <v>165</v>
      </c>
      <c r="D120" s="17"/>
      <c r="E120" s="17">
        <v>600</v>
      </c>
      <c r="F120" s="17">
        <v>1</v>
      </c>
      <c r="G120" s="17">
        <f t="shared" si="17"/>
        <v>600</v>
      </c>
      <c r="H120" s="17">
        <v>600</v>
      </c>
      <c r="I120" s="17">
        <f t="shared" si="18"/>
        <v>0</v>
      </c>
      <c r="J120" s="18"/>
      <c r="K120" s="20" t="str">
        <f>CONCATENATE(Table2[[#This Row],[Specs]],Table2[[#This Row],[Width]],Table2[[#This Row],[Slitting]])</f>
        <v>y ユポ80 MDN 8GB165</v>
      </c>
    </row>
    <row r="121" spans="1:11" hidden="1">
      <c r="A121" s="15" t="s">
        <v>302</v>
      </c>
      <c r="B121" s="18" t="s">
        <v>253</v>
      </c>
      <c r="C121" s="17">
        <v>185</v>
      </c>
      <c r="D121" s="17"/>
      <c r="E121" s="17">
        <v>600</v>
      </c>
      <c r="F121" s="17">
        <v>1</v>
      </c>
      <c r="G121" s="17">
        <f t="shared" ref="G121:G127" si="19">F121*E121</f>
        <v>600</v>
      </c>
      <c r="H121" s="17"/>
      <c r="I121" s="17">
        <f t="shared" ref="I121:I127" si="20">G121-H121</f>
        <v>600</v>
      </c>
      <c r="J121" s="18"/>
      <c r="K121" s="20" t="str">
        <f>CONCATENATE(Table2[[#This Row],[Specs]],Table2[[#This Row],[Width]],Table2[[#This Row],[Slitting]])</f>
        <v>y ユポ80 MDN 8GB185</v>
      </c>
    </row>
    <row r="122" spans="1:11" hidden="1">
      <c r="A122" s="15" t="s">
        <v>302</v>
      </c>
      <c r="B122" s="19" t="s">
        <v>253</v>
      </c>
      <c r="C122" s="17">
        <v>125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8"/>
      <c r="K122" s="20" t="str">
        <f>CONCATENATE(Table2[[#This Row],[Specs]],Table2[[#This Row],[Width]],Table2[[#This Row],[Slitting]])</f>
        <v>y ユポ80 MDN 8GB125</v>
      </c>
    </row>
    <row r="123" spans="1:11">
      <c r="A123" s="15" t="s">
        <v>303</v>
      </c>
      <c r="B123" s="19" t="s">
        <v>253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8"/>
      <c r="K123" s="20" t="str">
        <f>CONCATENATE(Table2[[#This Row],[Specs]],Table2[[#This Row],[Width]],Table2[[#This Row],[Slitting]])</f>
        <v>y ユポ80 MDN 8GB165</v>
      </c>
    </row>
    <row r="124" spans="1:11">
      <c r="A124" s="15" t="s">
        <v>303</v>
      </c>
      <c r="B124" s="19" t="s">
        <v>253</v>
      </c>
      <c r="C124" s="17">
        <v>165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8"/>
      <c r="K124" s="20" t="str">
        <f>CONCATENATE(Table2[[#This Row],[Specs]],Table2[[#This Row],[Width]],Table2[[#This Row],[Slitting]])</f>
        <v>y ユポ80 MDN 8GB165</v>
      </c>
    </row>
    <row r="125" spans="1:11" hidden="1">
      <c r="A125" s="15" t="s">
        <v>304</v>
      </c>
      <c r="B125" s="16" t="s">
        <v>253</v>
      </c>
      <c r="C125" s="17">
        <v>140</v>
      </c>
      <c r="D125" s="17"/>
      <c r="E125" s="17">
        <v>600</v>
      </c>
      <c r="F125" s="17">
        <v>1</v>
      </c>
      <c r="G125" s="17">
        <f t="shared" si="19"/>
        <v>600</v>
      </c>
      <c r="H125" s="17">
        <v>300</v>
      </c>
      <c r="I125" s="17">
        <f t="shared" si="20"/>
        <v>300</v>
      </c>
      <c r="J125" s="18"/>
      <c r="K125" s="20" t="str">
        <f>CONCATENATE(Table2[[#This Row],[Specs]],Table2[[#This Row],[Width]],Table2[[#This Row],[Slitting]])</f>
        <v>y ユポ80 MDN 8GB140</v>
      </c>
    </row>
    <row r="126" spans="1:11" hidden="1">
      <c r="A126" s="15" t="s">
        <v>305</v>
      </c>
      <c r="B126" s="18" t="s">
        <v>307</v>
      </c>
      <c r="C126" s="17">
        <v>140</v>
      </c>
      <c r="D126" s="17"/>
      <c r="E126" s="17">
        <v>500</v>
      </c>
      <c r="F126" s="17">
        <v>1</v>
      </c>
      <c r="G126" s="17">
        <f t="shared" si="19"/>
        <v>500</v>
      </c>
      <c r="H126" s="17"/>
      <c r="I126" s="17">
        <f t="shared" si="20"/>
        <v>500</v>
      </c>
      <c r="J126" s="18"/>
      <c r="K126" s="20" t="str">
        <f>CONCATENATE(Table2[[#This Row],[Specs]],Table2[[#This Row],[Width]],Table2[[#This Row],[Slitting]])</f>
        <v>N アート７３ME７GB140</v>
      </c>
    </row>
    <row r="127" spans="1:11" hidden="1">
      <c r="A127" s="15" t="s">
        <v>306</v>
      </c>
      <c r="B127" s="19" t="s">
        <v>253</v>
      </c>
      <c r="C127" s="17">
        <v>155</v>
      </c>
      <c r="D127" s="17"/>
      <c r="E127" s="17">
        <v>600</v>
      </c>
      <c r="F127" s="17">
        <v>1</v>
      </c>
      <c r="G127" s="17">
        <f t="shared" si="19"/>
        <v>600</v>
      </c>
      <c r="H127" s="17">
        <v>600</v>
      </c>
      <c r="I127" s="17">
        <f t="shared" si="20"/>
        <v>0</v>
      </c>
      <c r="J127" s="18"/>
      <c r="K127" s="20" t="str">
        <f>CONCATENATE(Table2[[#This Row],[Specs]],Table2[[#This Row],[Width]],Table2[[#This Row],[Slitting]])</f>
        <v>y ユポ80 MDN 8GB155</v>
      </c>
    </row>
    <row r="128" spans="1:11" hidden="1">
      <c r="A128" s="15" t="s">
        <v>306</v>
      </c>
      <c r="B128" s="16" t="s">
        <v>308</v>
      </c>
      <c r="C128" s="17">
        <v>210</v>
      </c>
      <c r="D128" s="17"/>
      <c r="E128" s="17">
        <v>1000</v>
      </c>
      <c r="F128" s="17">
        <v>1</v>
      </c>
      <c r="G128" s="17">
        <f t="shared" ref="G128:G133" si="21">F128*E128</f>
        <v>1000</v>
      </c>
      <c r="H128" s="17">
        <v>1000</v>
      </c>
      <c r="I128" s="17">
        <f t="shared" ref="I128:I133" si="22">G128-H128</f>
        <v>0</v>
      </c>
      <c r="J128" s="18"/>
      <c r="K128" s="20" t="str">
        <f>CONCATENATE(Table2[[#This Row],[Specs]],Table2[[#This Row],[Width]],Table2[[#This Row],[Slitting]])</f>
        <v>TWF55P16U5W210</v>
      </c>
    </row>
    <row r="129" spans="1:11" hidden="1">
      <c r="A129" s="15" t="s">
        <v>309</v>
      </c>
      <c r="B129" s="16" t="s">
        <v>253</v>
      </c>
      <c r="C129" s="17">
        <v>115</v>
      </c>
      <c r="D129" s="17"/>
      <c r="E129" s="17">
        <v>600</v>
      </c>
      <c r="F129" s="17">
        <v>1</v>
      </c>
      <c r="G129" s="17">
        <f t="shared" si="21"/>
        <v>600</v>
      </c>
      <c r="H129" s="17">
        <v>300</v>
      </c>
      <c r="I129" s="17">
        <f t="shared" si="22"/>
        <v>300</v>
      </c>
      <c r="J129" s="18"/>
      <c r="K129" s="20" t="str">
        <f>CONCATENATE(Table2[[#This Row],[Specs]],Table2[[#This Row],[Width]],Table2[[#This Row],[Slitting]])</f>
        <v>y ユポ80 MDN 8GB115</v>
      </c>
    </row>
    <row r="130" spans="1:11" hidden="1">
      <c r="A130" s="15" t="s">
        <v>310</v>
      </c>
      <c r="B130" s="16" t="s">
        <v>253</v>
      </c>
      <c r="C130" s="17">
        <v>155</v>
      </c>
      <c r="D130" s="17" t="s">
        <v>267</v>
      </c>
      <c r="E130" s="17">
        <v>600</v>
      </c>
      <c r="F130" s="17">
        <v>1</v>
      </c>
      <c r="G130" s="17">
        <f t="shared" si="21"/>
        <v>600</v>
      </c>
      <c r="H130" s="17"/>
      <c r="I130" s="17">
        <f t="shared" si="22"/>
        <v>600</v>
      </c>
      <c r="J130" s="18"/>
      <c r="K130" s="20" t="str">
        <f>CONCATENATE(Table2[[#This Row],[Specs]],Table2[[#This Row],[Width]],Table2[[#This Row],[Slitting]])</f>
        <v>y ユポ80 MDN 8GB155i 一本刃</v>
      </c>
    </row>
    <row r="131" spans="1:11">
      <c r="A131" s="15" t="s">
        <v>311</v>
      </c>
      <c r="B131" s="19" t="s">
        <v>253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8"/>
      <c r="K131" s="20" t="str">
        <f>CONCATENATE(Table2[[#This Row],[Specs]],Table2[[#This Row],[Width]],Table2[[#This Row],[Slitting]])</f>
        <v>y ユポ80 MDN 8GB165</v>
      </c>
    </row>
    <row r="132" spans="1:11">
      <c r="A132" s="15" t="s">
        <v>311</v>
      </c>
      <c r="B132" s="16" t="s">
        <v>253</v>
      </c>
      <c r="C132" s="17">
        <v>165</v>
      </c>
      <c r="D132" s="17"/>
      <c r="E132" s="17">
        <v>600</v>
      </c>
      <c r="F132" s="17">
        <v>1</v>
      </c>
      <c r="G132" s="17">
        <f t="shared" si="21"/>
        <v>600</v>
      </c>
      <c r="H132" s="17">
        <v>400</v>
      </c>
      <c r="I132" s="17">
        <f t="shared" si="22"/>
        <v>200</v>
      </c>
      <c r="J132" s="18"/>
      <c r="K132" s="20" t="str">
        <f>CONCATENATE(Table2[[#This Row],[Specs]],Table2[[#This Row],[Width]],Table2[[#This Row],[Slitting]])</f>
        <v>y ユポ80 MDN 8GB165</v>
      </c>
    </row>
    <row r="133" spans="1:11" hidden="1">
      <c r="A133" s="15"/>
      <c r="B133" s="16"/>
      <c r="C133" s="17"/>
      <c r="D133" s="17"/>
      <c r="E133" s="17"/>
      <c r="F133" s="17"/>
      <c r="G133" s="17">
        <f t="shared" si="21"/>
        <v>0</v>
      </c>
      <c r="H133" s="17"/>
      <c r="I133" s="17">
        <f t="shared" si="22"/>
        <v>0</v>
      </c>
      <c r="J133" s="18"/>
      <c r="K133" s="20" t="str">
        <f>CONCATENATE(Table2[[#This Row],[Specs]],Table2[[#This Row],[Width]],Table2[[#This Row],[Slitting]])</f>
        <v/>
      </c>
    </row>
    <row r="134" spans="1:11" hidden="1">
      <c r="A134" s="15"/>
      <c r="B134" s="16"/>
      <c r="C134" s="17"/>
      <c r="D134" s="17"/>
      <c r="E134" s="17"/>
      <c r="F134" s="17"/>
      <c r="G134" s="17">
        <f>F134*E134</f>
        <v>0</v>
      </c>
      <c r="H134" s="17"/>
      <c r="I134" s="17">
        <f>G134-H134</f>
        <v>0</v>
      </c>
      <c r="J134" s="18"/>
      <c r="K134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212" activePane="bottomLeft" state="frozen"/>
      <selection pane="bottomLeft" activeCell="F3" sqref="F3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4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9"/>
      <c r="C2" s="30"/>
      <c r="D2" s="11" t="s">
        <v>203</v>
      </c>
      <c r="F2" s="31" t="s">
        <v>255</v>
      </c>
      <c r="G2" s="9"/>
      <c r="H2" s="21"/>
      <c r="I2" s="14"/>
    </row>
    <row r="3" spans="1:9" ht="20">
      <c r="A3" s="21"/>
      <c r="B3" s="21"/>
      <c r="C3" s="21"/>
      <c r="D3" s="21"/>
      <c r="F3" s="33">
        <f>LastSavedTimeStamp()</f>
        <v>44201.337233796294</v>
      </c>
      <c r="G3" s="21"/>
      <c r="H3" s="21"/>
      <c r="I3" s="14"/>
    </row>
    <row r="4" spans="1:9" ht="8" hidden="1" customHeight="1">
      <c r="A4" s="21"/>
      <c r="B4" s="21"/>
      <c r="C4" s="21"/>
      <c r="D4" s="21"/>
      <c r="E4" s="28"/>
      <c r="F4" s="21"/>
      <c r="G4" s="21"/>
      <c r="H4" s="21"/>
      <c r="I4" s="14"/>
    </row>
    <row r="5" spans="1:9" ht="20" hidden="1">
      <c r="A5" s="21" t="s">
        <v>16</v>
      </c>
      <c r="B5" s="21" t="s">
        <v>17</v>
      </c>
      <c r="C5" s="21" t="s">
        <v>192</v>
      </c>
      <c r="D5" s="21" t="s">
        <v>18</v>
      </c>
      <c r="E5" s="21" t="s">
        <v>20</v>
      </c>
      <c r="F5" s="21" t="s">
        <v>19</v>
      </c>
      <c r="G5" s="21" t="s">
        <v>195</v>
      </c>
      <c r="H5" s="21" t="s">
        <v>202</v>
      </c>
      <c r="I5" s="14"/>
    </row>
    <row r="6" spans="1:9" ht="20">
      <c r="A6" s="21" t="s">
        <v>22</v>
      </c>
      <c r="B6" s="21"/>
      <c r="C6" s="21">
        <v>3101</v>
      </c>
      <c r="D6" s="21" t="s">
        <v>23</v>
      </c>
      <c r="E6" s="21"/>
      <c r="F6" s="24">
        <v>43759</v>
      </c>
      <c r="G6" s="21"/>
      <c r="H6" s="21" t="str">
        <f>CONCATENATE(Table1[[#This Row],[Order Code]],Table1[[#This Row],[NAME]])</f>
        <v>3101石油ソープ　D2628 赤</v>
      </c>
    </row>
    <row r="7" spans="1:9" ht="20">
      <c r="A7" s="23">
        <v>3</v>
      </c>
      <c r="B7" s="21" t="s">
        <v>22</v>
      </c>
      <c r="C7" s="21">
        <v>3101</v>
      </c>
      <c r="D7" s="21" t="s">
        <v>24</v>
      </c>
      <c r="E7" s="21"/>
      <c r="F7" s="24">
        <v>43704</v>
      </c>
      <c r="G7" s="21">
        <v>1</v>
      </c>
      <c r="H7" s="21" t="str">
        <f>CONCATENATE(Table1[[#This Row],[Order Code]],Table1[[#This Row],[NAME]])</f>
        <v>3101前田工繊ペーブ金赤</v>
      </c>
    </row>
    <row r="8" spans="1:9" ht="20">
      <c r="A8" s="23">
        <v>4</v>
      </c>
      <c r="B8" s="21" t="s">
        <v>22</v>
      </c>
      <c r="C8" s="21">
        <v>3101</v>
      </c>
      <c r="D8" s="21" t="s">
        <v>25</v>
      </c>
      <c r="E8" s="21"/>
      <c r="F8" s="24">
        <v>43847</v>
      </c>
      <c r="G8" s="21">
        <v>1</v>
      </c>
      <c r="H8" s="21" t="str">
        <f>CONCATENATE(Table1[[#This Row],[Order Code]],Table1[[#This Row],[NAME]])</f>
        <v>3101エコスマイル　W 赤</v>
      </c>
    </row>
    <row r="9" spans="1:9" ht="20">
      <c r="A9" s="23">
        <v>5</v>
      </c>
      <c r="B9" s="21" t="s">
        <v>22</v>
      </c>
      <c r="C9" s="21">
        <v>391</v>
      </c>
      <c r="D9" s="21" t="s">
        <v>26</v>
      </c>
      <c r="E9" s="21"/>
      <c r="F9" s="24">
        <v>43712</v>
      </c>
      <c r="G9" s="21">
        <v>1</v>
      </c>
      <c r="H9" s="21" t="str">
        <f>CONCATENATE(Table1[[#This Row],[Order Code]],Table1[[#This Row],[NAME]])</f>
        <v>391ユタカ金赤</v>
      </c>
    </row>
    <row r="10" spans="1:9" ht="20">
      <c r="A10" s="23">
        <v>6</v>
      </c>
      <c r="B10" s="21" t="s">
        <v>22</v>
      </c>
      <c r="C10" s="21">
        <v>391</v>
      </c>
      <c r="D10" s="21" t="s">
        <v>27</v>
      </c>
      <c r="E10" s="21"/>
      <c r="F10" s="24">
        <v>43720</v>
      </c>
      <c r="G10" s="21">
        <v>1</v>
      </c>
      <c r="H10" s="21" t="str">
        <f>CONCATENATE(Table1[[#This Row],[Order Code]],Table1[[#This Row],[NAME]])</f>
        <v>391D285 赤</v>
      </c>
    </row>
    <row r="11" spans="1:9" ht="20">
      <c r="A11" s="23">
        <v>7</v>
      </c>
      <c r="B11" s="21" t="s">
        <v>22</v>
      </c>
      <c r="C11" s="21">
        <v>391</v>
      </c>
      <c r="D11" s="21" t="s">
        <v>288</v>
      </c>
      <c r="E11" s="21"/>
      <c r="F11" s="24">
        <v>43605</v>
      </c>
      <c r="G11" s="21">
        <v>1</v>
      </c>
      <c r="H11" s="21" t="str">
        <f>CONCATENATE(Table1[[#This Row],[Order Code]],Table1[[#This Row],[NAME]])</f>
        <v>391ロイヤルソフター　赤 DIC2632</v>
      </c>
    </row>
    <row r="12" spans="1:9" ht="20">
      <c r="A12" s="23">
        <v>8</v>
      </c>
      <c r="B12" s="21" t="s">
        <v>22</v>
      </c>
      <c r="C12" s="21">
        <v>371</v>
      </c>
      <c r="D12" s="21" t="s">
        <v>194</v>
      </c>
      <c r="E12" s="21"/>
      <c r="F12" s="24">
        <v>43307</v>
      </c>
      <c r="G12" s="21">
        <v>1</v>
      </c>
      <c r="H12" s="21" t="str">
        <f>CONCATENATE(Table1[[#This Row],[Order Code]],Table1[[#This Row],[NAME]])</f>
        <v>371D-3 淡ピンク</v>
      </c>
    </row>
    <row r="13" spans="1:9" ht="20">
      <c r="A13" s="23">
        <v>9</v>
      </c>
      <c r="B13" s="21" t="s">
        <v>22</v>
      </c>
      <c r="C13" s="21">
        <v>341</v>
      </c>
      <c r="D13" s="21" t="s">
        <v>28</v>
      </c>
      <c r="E13" s="21"/>
      <c r="F13" s="24">
        <v>43759</v>
      </c>
      <c r="G13" s="21">
        <v>1</v>
      </c>
      <c r="H13" s="21" t="str">
        <f>CONCATENATE(Table1[[#This Row],[Order Code]],Table1[[#This Row],[NAME]])</f>
        <v>341D-49 濃ピンク</v>
      </c>
    </row>
    <row r="14" spans="1:9" ht="20">
      <c r="A14" s="23">
        <v>10</v>
      </c>
      <c r="B14" s="21" t="s">
        <v>22</v>
      </c>
      <c r="C14" s="21">
        <v>351</v>
      </c>
      <c r="D14" s="21" t="s">
        <v>29</v>
      </c>
      <c r="E14" s="21"/>
      <c r="F14" s="24">
        <v>43699</v>
      </c>
      <c r="G14" s="21">
        <v>1</v>
      </c>
      <c r="H14" s="21" t="str">
        <f>CONCATENATE(Table1[[#This Row],[Order Code]],Table1[[#This Row],[NAME]])</f>
        <v>351D-276 ピンク</v>
      </c>
    </row>
    <row r="15" spans="1:9" ht="20">
      <c r="A15" s="23">
        <v>11</v>
      </c>
      <c r="B15" s="21" t="s">
        <v>22</v>
      </c>
      <c r="C15" s="21">
        <v>361</v>
      </c>
      <c r="D15" s="21" t="s">
        <v>30</v>
      </c>
      <c r="E15" s="21"/>
      <c r="F15" s="24">
        <v>42985</v>
      </c>
      <c r="G15" s="21"/>
      <c r="H15" s="21" t="str">
        <f>CONCATENATE(Table1[[#This Row],[Order Code]],Table1[[#This Row],[NAME]])</f>
        <v>361D24 ピンク</v>
      </c>
    </row>
    <row r="16" spans="1:9" ht="20">
      <c r="A16" s="23">
        <v>12</v>
      </c>
      <c r="B16" s="21" t="s">
        <v>22</v>
      </c>
      <c r="C16" s="21">
        <v>371</v>
      </c>
      <c r="D16" s="21" t="s">
        <v>31</v>
      </c>
      <c r="E16" s="21"/>
      <c r="F16" s="24">
        <v>42663</v>
      </c>
      <c r="G16" s="21"/>
      <c r="H16" s="21" t="str">
        <f>CONCATENATE(Table1[[#This Row],[Order Code]],Table1[[#This Row],[NAME]])</f>
        <v>371D-77 ピンク（コート）</v>
      </c>
    </row>
    <row r="17" spans="1:8" ht="20">
      <c r="A17" s="23">
        <v>13</v>
      </c>
      <c r="B17" s="21" t="s">
        <v>22</v>
      </c>
      <c r="C17" s="21">
        <v>381</v>
      </c>
      <c r="D17" s="21" t="s">
        <v>32</v>
      </c>
      <c r="E17" s="21"/>
      <c r="F17" s="24">
        <v>42671</v>
      </c>
      <c r="G17" s="21"/>
      <c r="H17" s="21" t="str">
        <f>CONCATENATE(Table1[[#This Row],[Order Code]],Table1[[#This Row],[NAME]])</f>
        <v>381D-499 エンジ（コート）</v>
      </c>
    </row>
    <row r="18" spans="1:8" ht="20">
      <c r="A18" s="23">
        <v>14</v>
      </c>
      <c r="B18" s="21" t="s">
        <v>22</v>
      </c>
      <c r="C18" s="21">
        <v>361</v>
      </c>
      <c r="D18" s="21" t="s">
        <v>33</v>
      </c>
      <c r="E18" s="21"/>
      <c r="F18" s="24">
        <v>43081</v>
      </c>
      <c r="G18" s="21"/>
      <c r="H18" s="21" t="str">
        <f>CONCATENATE(Table1[[#This Row],[Order Code]],Table1[[#This Row],[NAME]])</f>
        <v>361D-2237 ピンク（コート）</v>
      </c>
    </row>
    <row r="19" spans="1:8" ht="20">
      <c r="A19" s="23">
        <v>15</v>
      </c>
      <c r="B19" s="21" t="s">
        <v>22</v>
      </c>
      <c r="C19" s="21">
        <v>361</v>
      </c>
      <c r="D19" s="21" t="s">
        <v>34</v>
      </c>
      <c r="E19" s="21"/>
      <c r="F19" s="21" t="s">
        <v>57</v>
      </c>
      <c r="G19" s="21"/>
      <c r="H19" s="21" t="str">
        <f>CONCATENATE(Table1[[#This Row],[Order Code]],Table1[[#This Row],[NAME]])</f>
        <v>361D49 ピンク</v>
      </c>
    </row>
    <row r="20" spans="1:8" ht="20">
      <c r="A20" s="23">
        <v>16</v>
      </c>
      <c r="B20" s="21" t="s">
        <v>22</v>
      </c>
      <c r="C20" s="21">
        <v>341</v>
      </c>
      <c r="D20" s="21" t="s">
        <v>35</v>
      </c>
      <c r="E20" s="21"/>
      <c r="F20" s="24">
        <v>43804</v>
      </c>
      <c r="G20" s="21">
        <v>1</v>
      </c>
      <c r="H20" s="21" t="str">
        <f>CONCATENATE(Table1[[#This Row],[Order Code]],Table1[[#This Row],[NAME]])</f>
        <v>341エストラル　AD19 桃</v>
      </c>
    </row>
    <row r="21" spans="1:8" ht="20">
      <c r="A21" s="23">
        <v>17</v>
      </c>
      <c r="B21" s="21" t="s">
        <v>22</v>
      </c>
      <c r="C21" s="21">
        <v>371</v>
      </c>
      <c r="D21" s="21" t="s">
        <v>36</v>
      </c>
      <c r="E21" s="21"/>
      <c r="F21" s="24">
        <v>43815</v>
      </c>
      <c r="G21" s="21">
        <v>1</v>
      </c>
      <c r="H21" s="21" t="str">
        <f>CONCATENATE(Table1[[#This Row],[Order Code]],Table1[[#This Row],[NAME]])</f>
        <v>371ネオアーシュ　ピンク</v>
      </c>
    </row>
    <row r="22" spans="1:8" ht="20">
      <c r="A22" s="23">
        <v>18</v>
      </c>
      <c r="B22" s="21" t="s">
        <v>22</v>
      </c>
      <c r="C22" s="21">
        <v>351</v>
      </c>
      <c r="D22" s="21" t="s">
        <v>37</v>
      </c>
      <c r="E22" s="21"/>
      <c r="F22" s="24">
        <v>43577</v>
      </c>
      <c r="G22" s="21"/>
      <c r="H22" s="21" t="str">
        <f>CONCATENATE(Table1[[#This Row],[Order Code]],Table1[[#This Row],[NAME]])</f>
        <v>351カイトウイン　ピンク</v>
      </c>
    </row>
    <row r="23" spans="1:8" ht="20">
      <c r="A23" s="23">
        <v>19</v>
      </c>
      <c r="B23" s="21" t="s">
        <v>22</v>
      </c>
      <c r="C23" s="21">
        <v>341</v>
      </c>
      <c r="D23" s="21" t="s">
        <v>35</v>
      </c>
      <c r="E23" s="21"/>
      <c r="F23" s="24">
        <v>43621</v>
      </c>
      <c r="G23" s="21">
        <v>1</v>
      </c>
      <c r="H23" s="21" t="str">
        <f>CONCATENATE(Table1[[#This Row],[Order Code]],Table1[[#This Row],[NAME]])</f>
        <v>341エストラル　AD19 桃</v>
      </c>
    </row>
    <row r="24" spans="1:8" ht="20">
      <c r="A24" s="23">
        <v>20</v>
      </c>
      <c r="B24" s="21" t="s">
        <v>22</v>
      </c>
      <c r="C24" s="21">
        <v>331</v>
      </c>
      <c r="D24" s="21" t="s">
        <v>38</v>
      </c>
      <c r="E24" s="21"/>
      <c r="F24" s="24">
        <v>43796</v>
      </c>
      <c r="G24" s="21">
        <v>1</v>
      </c>
      <c r="H24" s="21" t="str">
        <f>CONCATENATE(Table1[[#This Row],[Order Code]],Table1[[#This Row],[NAME]])</f>
        <v>331アスティーオン　オレンジ</v>
      </c>
    </row>
    <row r="25" spans="1:8" ht="20">
      <c r="A25" s="23">
        <v>21</v>
      </c>
      <c r="B25" s="21" t="s">
        <v>22</v>
      </c>
      <c r="C25" s="21">
        <v>331</v>
      </c>
      <c r="D25" s="21" t="s">
        <v>39</v>
      </c>
      <c r="E25" s="21"/>
      <c r="F25" s="24">
        <v>42662</v>
      </c>
      <c r="G25" s="21">
        <v>1</v>
      </c>
      <c r="H25" s="21" t="str">
        <f>CONCATENATE(Table1[[#This Row],[Order Code]],Table1[[#This Row],[NAME]])</f>
        <v>331D82 オレンジ</v>
      </c>
    </row>
    <row r="26" spans="1:8" ht="20">
      <c r="A26" s="23">
        <v>22</v>
      </c>
      <c r="B26" s="21" t="s">
        <v>22</v>
      </c>
      <c r="C26" s="21">
        <v>331</v>
      </c>
      <c r="D26" s="21" t="s">
        <v>40</v>
      </c>
      <c r="E26" s="21"/>
      <c r="F26" s="24">
        <v>43805</v>
      </c>
      <c r="G26" s="21">
        <v>1</v>
      </c>
      <c r="H26" s="21" t="str">
        <f>CONCATENATE(Table1[[#This Row],[Order Code]],Table1[[#This Row],[NAME]])</f>
        <v>331リフレシア　BW20 オレンジ</v>
      </c>
    </row>
    <row r="27" spans="1:8" ht="20">
      <c r="A27" s="23">
        <v>23</v>
      </c>
      <c r="B27" s="21" t="s">
        <v>22</v>
      </c>
      <c r="C27" s="21">
        <v>321</v>
      </c>
      <c r="D27" s="21" t="s">
        <v>41</v>
      </c>
      <c r="E27" s="21"/>
      <c r="F27" s="24">
        <v>43510</v>
      </c>
      <c r="G27" s="21">
        <v>1</v>
      </c>
      <c r="H27" s="21" t="str">
        <f>CONCATENATE(Table1[[#This Row],[Order Code]],Table1[[#This Row],[NAME]])</f>
        <v>321エコスマイル　S オレンジ</v>
      </c>
    </row>
    <row r="28" spans="1:8" ht="20">
      <c r="A28" s="23">
        <v>24</v>
      </c>
      <c r="B28" s="21" t="s">
        <v>22</v>
      </c>
      <c r="C28" s="21">
        <v>321</v>
      </c>
      <c r="D28" s="21" t="s">
        <v>42</v>
      </c>
      <c r="E28" s="21"/>
      <c r="F28" s="24">
        <v>43612</v>
      </c>
      <c r="G28" s="21"/>
      <c r="H28" s="21" t="str">
        <f>CONCATENATE(Table1[[#This Row],[Order Code]],Table1[[#This Row],[NAME]])</f>
        <v>321メディカール　AKDX オレンジ</v>
      </c>
    </row>
    <row r="29" spans="1:8" ht="20">
      <c r="A29" s="23">
        <v>25</v>
      </c>
      <c r="B29" s="21" t="s">
        <v>22</v>
      </c>
      <c r="C29" s="21">
        <v>321</v>
      </c>
      <c r="D29" s="21" t="s">
        <v>43</v>
      </c>
      <c r="E29" s="21"/>
      <c r="F29" s="24">
        <v>43742</v>
      </c>
      <c r="G29" s="21">
        <v>1</v>
      </c>
      <c r="H29" s="21" t="str">
        <f>CONCATENATE(Table1[[#This Row],[Order Code]],Table1[[#This Row],[NAME]])</f>
        <v>321シャープ　洗浄剤　ラベル　オレンジ</v>
      </c>
    </row>
    <row r="30" spans="1:8" ht="20">
      <c r="A30" s="23">
        <v>26</v>
      </c>
      <c r="B30" s="21" t="s">
        <v>22</v>
      </c>
      <c r="C30" s="21">
        <v>311</v>
      </c>
      <c r="D30" s="21" t="s">
        <v>264</v>
      </c>
      <c r="E30" s="21"/>
      <c r="F30" s="24">
        <v>43616</v>
      </c>
      <c r="G30" s="21"/>
      <c r="H30" s="21" t="str">
        <f>CONCATENATE(Table1[[#This Row],[Order Code]],Table1[[#This Row],[NAME]])</f>
        <v>311DIC83 ドライバリガードオレンジ</v>
      </c>
    </row>
    <row r="31" spans="1:8" ht="20">
      <c r="A31" s="23">
        <v>27</v>
      </c>
      <c r="B31" s="21" t="s">
        <v>22</v>
      </c>
      <c r="C31" s="21">
        <v>311</v>
      </c>
      <c r="D31" s="21" t="s">
        <v>45</v>
      </c>
      <c r="E31" s="21"/>
      <c r="F31" s="24">
        <v>43837</v>
      </c>
      <c r="G31" s="21" t="s">
        <v>46</v>
      </c>
      <c r="H31" s="21" t="str">
        <f>CONCATENATE(Table1[[#This Row],[Order Code]],Table1[[#This Row],[NAME]])</f>
        <v>311ソイレスUN オレンジ</v>
      </c>
    </row>
    <row r="32" spans="1:8" ht="20">
      <c r="A32" s="23">
        <v>28</v>
      </c>
      <c r="B32" s="21" t="s">
        <v>22</v>
      </c>
      <c r="C32" s="21">
        <v>311</v>
      </c>
      <c r="D32" s="21" t="s">
        <v>47</v>
      </c>
      <c r="E32" s="21"/>
      <c r="F32" s="24">
        <v>43746</v>
      </c>
      <c r="G32" s="21">
        <v>1</v>
      </c>
      <c r="H32" s="21" t="str">
        <f>CONCATENATE(Table1[[#This Row],[Order Code]],Table1[[#This Row],[NAME]])</f>
        <v>311かきもち　オレンジ</v>
      </c>
    </row>
    <row r="33" spans="1:8" ht="20">
      <c r="A33" s="23">
        <v>29</v>
      </c>
      <c r="B33" s="21" t="s">
        <v>22</v>
      </c>
      <c r="C33" s="21">
        <v>301</v>
      </c>
      <c r="D33" s="21" t="s">
        <v>48</v>
      </c>
      <c r="E33" s="21">
        <v>9</v>
      </c>
      <c r="F33" s="24">
        <v>43899</v>
      </c>
      <c r="G33" s="21">
        <v>1</v>
      </c>
      <c r="H33" s="21" t="str">
        <f>CONCATENATE(Table1[[#This Row],[Order Code]],Table1[[#This Row],[NAME]])</f>
        <v>301ユタカ防災　オレンジ</v>
      </c>
    </row>
    <row r="34" spans="1:8" ht="20">
      <c r="A34" s="23">
        <v>30</v>
      </c>
      <c r="B34" s="21" t="s">
        <v>22</v>
      </c>
      <c r="C34" s="21">
        <v>302</v>
      </c>
      <c r="D34" s="21" t="s">
        <v>49</v>
      </c>
      <c r="E34" s="21"/>
      <c r="F34" s="24">
        <v>43518</v>
      </c>
      <c r="G34" s="21"/>
      <c r="H34" s="21" t="str">
        <f>CONCATENATE(Table1[[#This Row],[Order Code]],Table1[[#This Row],[NAME]])</f>
        <v>302シャープ 洗浄剤　ラベル　オレンジ</v>
      </c>
    </row>
    <row r="35" spans="1:8" ht="20">
      <c r="A35" s="23">
        <v>31</v>
      </c>
      <c r="B35" s="21" t="s">
        <v>22</v>
      </c>
      <c r="C35" s="21">
        <v>301</v>
      </c>
      <c r="D35" s="21" t="s">
        <v>50</v>
      </c>
      <c r="E35" s="21"/>
      <c r="F35" s="24">
        <v>43761</v>
      </c>
      <c r="G35" s="21">
        <v>1</v>
      </c>
      <c r="H35" s="21" t="str">
        <f>CONCATENATE(Table1[[#This Row],[Order Code]],Table1[[#This Row],[NAME]])</f>
        <v>301エストラルOB02 オレンジ</v>
      </c>
    </row>
    <row r="36" spans="1:8" ht="20">
      <c r="A36" s="23">
        <v>33</v>
      </c>
      <c r="B36" s="21" t="s">
        <v>51</v>
      </c>
      <c r="C36" s="21">
        <v>291</v>
      </c>
      <c r="D36" s="21" t="s">
        <v>52</v>
      </c>
      <c r="E36" s="21">
        <v>9</v>
      </c>
      <c r="F36" s="24">
        <v>42667</v>
      </c>
      <c r="G36" s="21"/>
      <c r="H36" s="21" t="str">
        <f>CONCATENATE(Table1[[#This Row],[Order Code]],Table1[[#This Row],[NAME]])</f>
        <v>291耐減感出口様用　紺藍</v>
      </c>
    </row>
    <row r="37" spans="1:8" ht="20">
      <c r="A37" s="23">
        <v>34</v>
      </c>
      <c r="B37" s="21" t="s">
        <v>51</v>
      </c>
      <c r="C37" s="21">
        <v>121</v>
      </c>
      <c r="D37" s="21" t="s">
        <v>52</v>
      </c>
      <c r="E37" s="21">
        <v>10</v>
      </c>
      <c r="F37" s="24">
        <v>42667</v>
      </c>
      <c r="G37" s="21"/>
      <c r="H37" s="21" t="str">
        <f>CONCATENATE(Table1[[#This Row],[Order Code]],Table1[[#This Row],[NAME]])</f>
        <v>121耐減感出口様用　紺藍</v>
      </c>
    </row>
    <row r="38" spans="1:8" ht="20">
      <c r="A38" s="23">
        <v>35</v>
      </c>
      <c r="B38" s="21" t="s">
        <v>51</v>
      </c>
      <c r="C38" s="21">
        <v>171</v>
      </c>
      <c r="D38" s="21" t="s">
        <v>52</v>
      </c>
      <c r="E38" s="21">
        <v>10</v>
      </c>
      <c r="F38" s="24">
        <v>42667</v>
      </c>
      <c r="G38" s="21"/>
      <c r="H38" s="21" t="str">
        <f>CONCATENATE(Table1[[#This Row],[Order Code]],Table1[[#This Row],[NAME]])</f>
        <v>171耐減感出口様用　紺藍</v>
      </c>
    </row>
    <row r="39" spans="1:8" ht="20">
      <c r="A39" s="23">
        <v>36</v>
      </c>
      <c r="B39" s="21" t="s">
        <v>51</v>
      </c>
      <c r="C39" s="21">
        <v>161</v>
      </c>
      <c r="D39" s="21" t="s">
        <v>53</v>
      </c>
      <c r="E39" s="21">
        <v>10</v>
      </c>
      <c r="F39" s="24">
        <v>42740</v>
      </c>
      <c r="G39" s="21"/>
      <c r="H39" s="21" t="str">
        <f>CONCATENATE(Table1[[#This Row],[Order Code]],Table1[[#This Row],[NAME]])</f>
        <v>161耐減感出口様用　11 濃緑</v>
      </c>
    </row>
    <row r="40" spans="1:8" ht="20">
      <c r="A40" s="23">
        <v>37</v>
      </c>
      <c r="B40" s="21" t="s">
        <v>51</v>
      </c>
      <c r="C40" s="21">
        <v>171</v>
      </c>
      <c r="D40" s="21" t="s">
        <v>53</v>
      </c>
      <c r="E40" s="21">
        <v>10</v>
      </c>
      <c r="F40" s="24">
        <v>42740</v>
      </c>
      <c r="G40" s="21"/>
      <c r="H40" s="21" t="str">
        <f>CONCATENATE(Table1[[#This Row],[Order Code]],Table1[[#This Row],[NAME]])</f>
        <v>171耐減感出口様用　11 濃緑</v>
      </c>
    </row>
    <row r="41" spans="1:8" ht="20">
      <c r="A41" s="23">
        <v>38</v>
      </c>
      <c r="B41" s="21" t="s">
        <v>51</v>
      </c>
      <c r="C41" s="21">
        <v>181</v>
      </c>
      <c r="D41" s="21" t="s">
        <v>54</v>
      </c>
      <c r="E41" s="21">
        <v>10</v>
      </c>
      <c r="F41" s="24">
        <v>42516</v>
      </c>
      <c r="G41" s="21"/>
      <c r="H41" s="21" t="str">
        <f>CONCATENATE(Table1[[#This Row],[Order Code]],Table1[[#This Row],[NAME]])</f>
        <v>181耐減感出口様用　牡丹</v>
      </c>
    </row>
    <row r="42" spans="1:8" ht="20">
      <c r="A42" s="23">
        <v>39</v>
      </c>
      <c r="B42" s="21" t="s">
        <v>22</v>
      </c>
      <c r="C42" s="21">
        <v>251</v>
      </c>
      <c r="D42" s="21" t="s">
        <v>55</v>
      </c>
      <c r="E42" s="21">
        <v>3</v>
      </c>
      <c r="F42" s="24">
        <v>43742</v>
      </c>
      <c r="G42" s="21"/>
      <c r="H42" s="21" t="str">
        <f>CONCATENATE(Table1[[#This Row],[Order Code]],Table1[[#This Row],[NAME]])</f>
        <v>251D-181 青</v>
      </c>
    </row>
    <row r="43" spans="1:8" ht="20">
      <c r="A43" s="23">
        <v>40</v>
      </c>
      <c r="B43" s="21" t="s">
        <v>22</v>
      </c>
      <c r="C43" s="21">
        <v>281</v>
      </c>
      <c r="D43" s="21" t="s">
        <v>56</v>
      </c>
      <c r="E43" s="21">
        <v>8</v>
      </c>
      <c r="F43" s="24">
        <v>43634</v>
      </c>
      <c r="G43" s="21"/>
      <c r="H43" s="21" t="str">
        <f>CONCATENATE(Table1[[#This Row],[Order Code]],Table1[[#This Row],[NAME]])</f>
        <v>281白洋舎モップオイルH10 青</v>
      </c>
    </row>
    <row r="44" spans="1:8" ht="20">
      <c r="A44" s="23">
        <v>41</v>
      </c>
      <c r="B44" s="21" t="s">
        <v>22</v>
      </c>
      <c r="C44" s="21">
        <v>281</v>
      </c>
      <c r="D44" s="21" t="s">
        <v>55</v>
      </c>
      <c r="E44" s="21">
        <v>2</v>
      </c>
      <c r="F44" s="21" t="s">
        <v>57</v>
      </c>
      <c r="G44" s="21"/>
      <c r="H44" s="21" t="str">
        <f>CONCATENATE(Table1[[#This Row],[Order Code]],Table1[[#This Row],[NAME]])</f>
        <v>281D-181 青</v>
      </c>
    </row>
    <row r="45" spans="1:8" ht="20">
      <c r="A45" s="23">
        <v>42</v>
      </c>
      <c r="B45" s="21" t="s">
        <v>22</v>
      </c>
      <c r="C45" s="21">
        <v>271</v>
      </c>
      <c r="D45" s="21" t="s">
        <v>58</v>
      </c>
      <c r="E45" s="21">
        <v>8</v>
      </c>
      <c r="F45" s="24">
        <v>43782</v>
      </c>
      <c r="G45" s="21"/>
      <c r="H45" s="21" t="str">
        <f>CONCATENATE(Table1[[#This Row],[Order Code]],Table1[[#This Row],[NAME]])</f>
        <v>271D-182 青</v>
      </c>
    </row>
    <row r="46" spans="1:8" ht="20">
      <c r="A46" s="23">
        <v>43</v>
      </c>
      <c r="B46" s="21" t="s">
        <v>22</v>
      </c>
      <c r="C46" s="21">
        <v>271</v>
      </c>
      <c r="D46" s="21" t="s">
        <v>59</v>
      </c>
      <c r="E46" s="21">
        <v>9</v>
      </c>
      <c r="F46" s="24">
        <v>43782</v>
      </c>
      <c r="G46" s="21"/>
      <c r="H46" s="21" t="str">
        <f>CONCATENATE(Table1[[#This Row],[Order Code]],Table1[[#This Row],[NAME]])</f>
        <v>271D-99 濃青</v>
      </c>
    </row>
    <row r="47" spans="1:8" ht="20">
      <c r="A47" s="23">
        <v>44</v>
      </c>
      <c r="B47" s="21" t="s">
        <v>22</v>
      </c>
      <c r="C47" s="21">
        <v>271</v>
      </c>
      <c r="D47" s="21" t="s">
        <v>60</v>
      </c>
      <c r="E47" s="21">
        <v>5</v>
      </c>
      <c r="F47" s="24">
        <v>43719</v>
      </c>
      <c r="G47" s="21"/>
      <c r="H47" s="21" t="str">
        <f>CONCATENATE(Table1[[#This Row],[Order Code]],Table1[[#This Row],[NAME]])</f>
        <v>271D-180 青</v>
      </c>
    </row>
    <row r="48" spans="1:8" ht="20">
      <c r="A48" s="23">
        <v>45</v>
      </c>
      <c r="B48" s="21" t="s">
        <v>22</v>
      </c>
      <c r="C48" s="21">
        <v>261</v>
      </c>
      <c r="D48" s="21" t="s">
        <v>61</v>
      </c>
      <c r="E48" s="21">
        <v>6</v>
      </c>
      <c r="F48" s="24">
        <v>42713</v>
      </c>
      <c r="G48" s="21"/>
      <c r="H48" s="21" t="str">
        <f>CONCATENATE(Table1[[#This Row],[Order Code]],Table1[[#This Row],[NAME]])</f>
        <v>261D-2166 青(コート)</v>
      </c>
    </row>
    <row r="49" spans="1:8" ht="20">
      <c r="A49" s="23">
        <v>46</v>
      </c>
      <c r="B49" s="21" t="s">
        <v>22</v>
      </c>
      <c r="C49" s="21">
        <v>261</v>
      </c>
      <c r="D49" s="21" t="s">
        <v>62</v>
      </c>
      <c r="E49" s="21">
        <v>4</v>
      </c>
      <c r="F49" s="24">
        <v>43602</v>
      </c>
      <c r="G49" s="21"/>
      <c r="H49" s="21" t="str">
        <f>CONCATENATE(Table1[[#This Row],[Order Code]],Table1[[#This Row],[NAME]])</f>
        <v>261ケアウォッシュ(17KG) 青</v>
      </c>
    </row>
    <row r="50" spans="1:8" ht="20">
      <c r="A50" s="23">
        <v>47</v>
      </c>
      <c r="B50" s="21" t="s">
        <v>22</v>
      </c>
      <c r="C50" s="21">
        <v>261</v>
      </c>
      <c r="D50" s="21" t="s">
        <v>63</v>
      </c>
      <c r="E50" s="21">
        <v>6</v>
      </c>
      <c r="F50" s="24">
        <v>43272</v>
      </c>
      <c r="G50" s="21"/>
      <c r="H50" s="21" t="str">
        <f>CONCATENATE(Table1[[#This Row],[Order Code]],Table1[[#This Row],[NAME]])</f>
        <v>261D-2167 水色</v>
      </c>
    </row>
    <row r="51" spans="1:8" ht="20">
      <c r="A51" s="23">
        <v>48</v>
      </c>
      <c r="B51" s="21" t="s">
        <v>22</v>
      </c>
      <c r="C51" s="21">
        <v>251</v>
      </c>
      <c r="D51" s="21" t="s">
        <v>64</v>
      </c>
      <c r="E51" s="21">
        <v>8</v>
      </c>
      <c r="F51" s="24">
        <v>43886</v>
      </c>
      <c r="G51" s="21">
        <v>1</v>
      </c>
      <c r="H51" s="21" t="str">
        <f>CONCATENATE(Table1[[#This Row],[Order Code]],Table1[[#This Row],[NAME]])</f>
        <v>251ハナビアンVS150 水色</v>
      </c>
    </row>
    <row r="52" spans="1:8" ht="20">
      <c r="A52" s="23">
        <v>49</v>
      </c>
      <c r="B52" s="21" t="s">
        <v>22</v>
      </c>
      <c r="C52" s="21">
        <v>251</v>
      </c>
      <c r="D52" s="21" t="s">
        <v>61</v>
      </c>
      <c r="E52" s="21">
        <v>8</v>
      </c>
      <c r="F52" s="24">
        <v>43648</v>
      </c>
      <c r="G52" s="21"/>
      <c r="H52" s="21" t="str">
        <f>CONCATENATE(Table1[[#This Row],[Order Code]],Table1[[#This Row],[NAME]])</f>
        <v>251D-2166 青(コート)</v>
      </c>
    </row>
    <row r="53" spans="1:8" ht="20">
      <c r="A53" s="23">
        <v>50</v>
      </c>
      <c r="B53" s="21" t="s">
        <v>22</v>
      </c>
      <c r="C53" s="21">
        <v>222</v>
      </c>
      <c r="D53" s="21" t="s">
        <v>65</v>
      </c>
      <c r="E53" s="21">
        <v>5</v>
      </c>
      <c r="F53" s="24">
        <v>43602</v>
      </c>
      <c r="G53" s="21"/>
      <c r="H53" s="21" t="str">
        <f>CONCATENATE(Table1[[#This Row],[Order Code]],Table1[[#This Row],[NAME]])</f>
        <v>222D-641 青(コート)</v>
      </c>
    </row>
    <row r="54" spans="1:8" ht="20">
      <c r="A54" s="23">
        <v>51</v>
      </c>
      <c r="B54" s="21" t="s">
        <v>22</v>
      </c>
      <c r="C54" s="21">
        <v>241</v>
      </c>
      <c r="D54" s="21" t="s">
        <v>66</v>
      </c>
      <c r="E54" s="21">
        <v>6</v>
      </c>
      <c r="F54" s="24">
        <v>43081</v>
      </c>
      <c r="G54" s="21"/>
      <c r="H54" s="21" t="str">
        <f>CONCATENATE(Table1[[#This Row],[Order Code]],Table1[[#This Row],[NAME]])</f>
        <v>241D-2167 水色(コート)</v>
      </c>
    </row>
    <row r="55" spans="1:8" ht="20">
      <c r="A55" s="23">
        <v>52</v>
      </c>
      <c r="B55" s="21" t="s">
        <v>22</v>
      </c>
      <c r="C55" s="21">
        <v>241</v>
      </c>
      <c r="D55" s="21" t="s">
        <v>67</v>
      </c>
      <c r="E55" s="21">
        <v>4</v>
      </c>
      <c r="F55" s="24">
        <v>42807</v>
      </c>
      <c r="G55" s="21"/>
      <c r="H55" s="21" t="str">
        <f>CONCATENATE(Table1[[#This Row],[Order Code]],Table1[[#This Row],[NAME]])</f>
        <v>241D-2177 青(コート)</v>
      </c>
    </row>
    <row r="56" spans="1:8" ht="20">
      <c r="A56" s="23">
        <v>53</v>
      </c>
      <c r="B56" s="21" t="s">
        <v>22</v>
      </c>
      <c r="C56" s="21">
        <v>241</v>
      </c>
      <c r="D56" s="21" t="s">
        <v>68</v>
      </c>
      <c r="E56" s="21">
        <v>6</v>
      </c>
      <c r="F56" s="24">
        <v>43811</v>
      </c>
      <c r="G56" s="21">
        <v>1</v>
      </c>
      <c r="H56" s="21" t="str">
        <f>CONCATENATE(Table1[[#This Row],[Order Code]],Table1[[#This Row],[NAME]])</f>
        <v>241D-178 浅葱</v>
      </c>
    </row>
    <row r="57" spans="1:8" ht="20">
      <c r="A57" s="23">
        <v>54</v>
      </c>
      <c r="B57" s="21" t="s">
        <v>22</v>
      </c>
      <c r="C57" s="21">
        <v>231</v>
      </c>
      <c r="D57" s="21" t="s">
        <v>69</v>
      </c>
      <c r="E57" s="21">
        <v>5</v>
      </c>
      <c r="F57" s="24">
        <v>43746</v>
      </c>
      <c r="G57" s="21"/>
      <c r="H57" s="21" t="str">
        <f>CONCATENATE(Table1[[#This Row],[Order Code]],Table1[[#This Row],[NAME]])</f>
        <v>231D-140 青</v>
      </c>
    </row>
    <row r="58" spans="1:8" ht="20">
      <c r="A58" s="23">
        <v>55</v>
      </c>
      <c r="B58" s="21" t="s">
        <v>22</v>
      </c>
      <c r="C58" s="21">
        <v>231</v>
      </c>
      <c r="D58" s="21" t="s">
        <v>69</v>
      </c>
      <c r="E58" s="21">
        <v>5</v>
      </c>
      <c r="F58" s="21" t="s">
        <v>57</v>
      </c>
      <c r="G58" s="21"/>
      <c r="H58" s="21" t="str">
        <f>CONCATENATE(Table1[[#This Row],[Order Code]],Table1[[#This Row],[NAME]])</f>
        <v>231D-140 青</v>
      </c>
    </row>
    <row r="59" spans="1:8" ht="20">
      <c r="A59" s="23">
        <v>56</v>
      </c>
      <c r="B59" s="21" t="s">
        <v>22</v>
      </c>
      <c r="C59" s="21">
        <v>231</v>
      </c>
      <c r="D59" s="21" t="s">
        <v>70</v>
      </c>
      <c r="E59" s="21">
        <v>5</v>
      </c>
      <c r="F59" s="24">
        <v>43796</v>
      </c>
      <c r="G59" s="21">
        <v>1</v>
      </c>
      <c r="H59" s="21" t="str">
        <f>CONCATENATE(Table1[[#This Row],[Order Code]],Table1[[#This Row],[NAME]])</f>
        <v>231P-2726C 青</v>
      </c>
    </row>
    <row r="60" spans="1:8" ht="20">
      <c r="A60" s="23">
        <v>57</v>
      </c>
      <c r="B60" s="21" t="s">
        <v>22</v>
      </c>
      <c r="C60" s="21">
        <v>201</v>
      </c>
      <c r="D60" s="21" t="s">
        <v>237</v>
      </c>
      <c r="E60" s="21">
        <v>8</v>
      </c>
      <c r="F60" s="24">
        <v>43861</v>
      </c>
      <c r="G60" s="21">
        <v>1</v>
      </c>
      <c r="H60" s="21" t="str">
        <f>CONCATENATE(Table1[[#This Row],[Order Code]],Table1[[#This Row],[NAME]])</f>
        <v>201ユタカ花粉ホコリ　青</v>
      </c>
    </row>
    <row r="61" spans="1:8" ht="20">
      <c r="A61" s="23">
        <v>58</v>
      </c>
      <c r="B61" s="21" t="s">
        <v>22</v>
      </c>
      <c r="C61" s="25">
        <v>221</v>
      </c>
      <c r="D61" s="21" t="s">
        <v>72</v>
      </c>
      <c r="E61" s="21">
        <v>3</v>
      </c>
      <c r="F61" s="24">
        <v>43573</v>
      </c>
      <c r="G61" s="21">
        <v>1</v>
      </c>
      <c r="H61" s="21" t="str">
        <f>CONCATENATE(Table1[[#This Row],[Order Code]],Table1[[#This Row],[NAME]])</f>
        <v>221サンフレンド　青</v>
      </c>
    </row>
    <row r="62" spans="1:8" ht="20">
      <c r="A62" s="23">
        <v>59</v>
      </c>
      <c r="B62" s="21" t="s">
        <v>22</v>
      </c>
      <c r="C62" s="25">
        <v>221</v>
      </c>
      <c r="D62" s="21" t="s">
        <v>73</v>
      </c>
      <c r="E62" s="21">
        <v>8</v>
      </c>
      <c r="F62" s="24">
        <v>43602</v>
      </c>
      <c r="G62" s="21"/>
      <c r="H62" s="21" t="str">
        <f>CONCATENATE(Table1[[#This Row],[Order Code]],Table1[[#This Row],[NAME]])</f>
        <v>221エコスマイル BO（10KG）青</v>
      </c>
    </row>
    <row r="63" spans="1:8" ht="20">
      <c r="A63" s="23">
        <v>60</v>
      </c>
      <c r="B63" s="21" t="s">
        <v>22</v>
      </c>
      <c r="C63" s="25">
        <v>222</v>
      </c>
      <c r="D63" s="21" t="s">
        <v>74</v>
      </c>
      <c r="E63" s="21">
        <v>8</v>
      </c>
      <c r="F63" s="24">
        <v>43844</v>
      </c>
      <c r="G63" s="21">
        <v>1</v>
      </c>
      <c r="H63" s="21" t="str">
        <f>CONCATENATE(Table1[[#This Row],[Order Code]],Table1[[#This Row],[NAME]])</f>
        <v>222愛育病院内用薬　青</v>
      </c>
    </row>
    <row r="64" spans="1:8" ht="20">
      <c r="A64" s="23">
        <v>61</v>
      </c>
      <c r="B64" s="21" t="s">
        <v>22</v>
      </c>
      <c r="C64" s="25">
        <v>211</v>
      </c>
      <c r="D64" s="21" t="s">
        <v>75</v>
      </c>
      <c r="E64" s="21">
        <v>8</v>
      </c>
      <c r="F64" s="24">
        <v>43787</v>
      </c>
      <c r="G64" s="21">
        <v>1</v>
      </c>
      <c r="H64" s="21" t="str">
        <f>CONCATENATE(Table1[[#This Row],[Order Code]],Table1[[#This Row],[NAME]])</f>
        <v>211テクノクリアN5L 水色</v>
      </c>
    </row>
    <row r="65" spans="1:8" ht="20">
      <c r="A65" s="23">
        <v>62</v>
      </c>
      <c r="B65" s="21" t="s">
        <v>22</v>
      </c>
      <c r="C65" s="25">
        <v>211</v>
      </c>
      <c r="D65" s="21" t="s">
        <v>76</v>
      </c>
      <c r="E65" s="21">
        <v>5</v>
      </c>
      <c r="F65" s="24">
        <v>43580</v>
      </c>
      <c r="G65" s="21">
        <v>1</v>
      </c>
      <c r="H65" s="21" t="str">
        <f>CONCATENATE(Table1[[#This Row],[Order Code]],Table1[[#This Row],[NAME]])</f>
        <v>211ドライスター　青</v>
      </c>
    </row>
    <row r="66" spans="1:8" ht="20">
      <c r="A66" s="23">
        <v>63</v>
      </c>
      <c r="B66" s="21" t="s">
        <v>22</v>
      </c>
      <c r="C66" s="21">
        <v>221</v>
      </c>
      <c r="D66" s="21" t="s">
        <v>77</v>
      </c>
      <c r="E66" s="21">
        <v>8</v>
      </c>
      <c r="F66" s="24">
        <v>43573</v>
      </c>
      <c r="G66" s="21">
        <v>1</v>
      </c>
      <c r="H66" s="21" t="str">
        <f>CONCATENATE(Table1[[#This Row],[Order Code]],Table1[[#This Row],[NAME]])</f>
        <v>221サンフレンド 青</v>
      </c>
    </row>
    <row r="67" spans="1:8" ht="20">
      <c r="A67" s="23">
        <v>64</v>
      </c>
      <c r="B67" s="21" t="s">
        <v>22</v>
      </c>
      <c r="C67" s="25">
        <v>201</v>
      </c>
      <c r="D67" s="21" t="s">
        <v>78</v>
      </c>
      <c r="E67" s="21">
        <v>8</v>
      </c>
      <c r="F67" s="24">
        <v>43605</v>
      </c>
      <c r="G67" s="21">
        <v>1</v>
      </c>
      <c r="H67" s="21" t="str">
        <f>CONCATENATE(Table1[[#This Row],[Order Code]],Table1[[#This Row],[NAME]])</f>
        <v>201WASHハウスソープ</v>
      </c>
    </row>
    <row r="68" spans="1:8" ht="20">
      <c r="A68" s="23">
        <v>65</v>
      </c>
      <c r="B68" s="21" t="s">
        <v>22</v>
      </c>
      <c r="C68" s="25">
        <v>201</v>
      </c>
      <c r="D68" s="21" t="s">
        <v>79</v>
      </c>
      <c r="E68" s="21">
        <v>5</v>
      </c>
      <c r="F68" s="24">
        <v>43720</v>
      </c>
      <c r="G68" s="21">
        <v>1</v>
      </c>
      <c r="H68" s="21" t="str">
        <f>CONCATENATE(Table1[[#This Row],[Order Code]],Table1[[#This Row],[NAME]])</f>
        <v>201サンレックス3.5 青</v>
      </c>
    </row>
    <row r="69" spans="1:8" ht="20">
      <c r="A69" s="23">
        <v>67</v>
      </c>
      <c r="B69" s="21" t="s">
        <v>22</v>
      </c>
      <c r="C69" s="21">
        <v>1101</v>
      </c>
      <c r="D69" s="21" t="s">
        <v>80</v>
      </c>
      <c r="E69" s="21">
        <v>10</v>
      </c>
      <c r="F69" s="24">
        <v>43563</v>
      </c>
      <c r="G69" s="21">
        <v>1</v>
      </c>
      <c r="H69" s="21" t="str">
        <f>CONCATENATE(Table1[[#This Row],[Order Code]],Table1[[#This Row],[NAME]])</f>
        <v>1101D-156 赤</v>
      </c>
    </row>
    <row r="70" spans="1:8" ht="20">
      <c r="A70" s="23">
        <v>68</v>
      </c>
      <c r="B70" s="21" t="s">
        <v>22</v>
      </c>
      <c r="C70" s="21">
        <v>1101</v>
      </c>
      <c r="D70" s="21" t="s">
        <v>81</v>
      </c>
      <c r="E70" s="21">
        <v>10</v>
      </c>
      <c r="F70" s="24">
        <v>43742</v>
      </c>
      <c r="G70" s="21">
        <v>1</v>
      </c>
      <c r="H70" s="21" t="str">
        <f>CONCATENATE(Table1[[#This Row],[Order Code]],Table1[[#This Row],[NAME]])</f>
        <v>1101ロイヤルソフター  赤</v>
      </c>
    </row>
    <row r="71" spans="1:8" ht="20">
      <c r="A71" s="23">
        <v>69</v>
      </c>
      <c r="B71" s="21" t="s">
        <v>22</v>
      </c>
      <c r="C71" s="21">
        <v>1101</v>
      </c>
      <c r="D71" s="21" t="s">
        <v>82</v>
      </c>
      <c r="E71" s="21">
        <v>10</v>
      </c>
      <c r="F71" s="24">
        <v>43756</v>
      </c>
      <c r="G71" s="21">
        <v>1</v>
      </c>
      <c r="H71" s="21" t="str">
        <f>CONCATENATE(Table1[[#This Row],[Order Code]],Table1[[#This Row],[NAME]])</f>
        <v>1101ニッカサンブリーチ　赤</v>
      </c>
    </row>
    <row r="72" spans="1:8" ht="20">
      <c r="A72" s="23">
        <v>70</v>
      </c>
      <c r="B72" s="21" t="s">
        <v>22</v>
      </c>
      <c r="C72" s="21">
        <v>231</v>
      </c>
      <c r="D72" s="21" t="s">
        <v>80</v>
      </c>
      <c r="E72" s="21">
        <v>10</v>
      </c>
      <c r="F72" s="24">
        <v>43742</v>
      </c>
      <c r="G72" s="21">
        <v>1</v>
      </c>
      <c r="H72" s="21" t="str">
        <f>CONCATENATE(Table1[[#This Row],[Order Code]],Table1[[#This Row],[NAME]])</f>
        <v>231D-156 赤</v>
      </c>
    </row>
    <row r="73" spans="1:8" ht="20">
      <c r="A73" s="23">
        <v>71</v>
      </c>
      <c r="B73" s="21" t="s">
        <v>22</v>
      </c>
      <c r="C73" s="21">
        <v>191</v>
      </c>
      <c r="D73" s="21" t="s">
        <v>28</v>
      </c>
      <c r="E73" s="21">
        <v>10</v>
      </c>
      <c r="F73" s="24">
        <v>43307</v>
      </c>
      <c r="G73" s="21">
        <v>1</v>
      </c>
      <c r="H73" s="21" t="str">
        <f>CONCATENATE(Table1[[#This Row],[Order Code]],Table1[[#This Row],[NAME]])</f>
        <v>191D-49 濃ピンク</v>
      </c>
    </row>
    <row r="74" spans="1:8" ht="20">
      <c r="A74" s="23">
        <v>72</v>
      </c>
      <c r="B74" s="21" t="s">
        <v>22</v>
      </c>
      <c r="C74" s="21">
        <v>191</v>
      </c>
      <c r="D74" s="21" t="s">
        <v>83</v>
      </c>
      <c r="E74" s="21">
        <v>10</v>
      </c>
      <c r="F74" s="24">
        <v>43746</v>
      </c>
      <c r="G74" s="21"/>
      <c r="H74" s="21" t="str">
        <f>CONCATENATE(Table1[[#This Row],[Order Code]],Table1[[#This Row],[NAME]])</f>
        <v>191D-24 ピンク</v>
      </c>
    </row>
    <row r="75" spans="1:8" ht="20">
      <c r="A75" s="23">
        <v>73</v>
      </c>
      <c r="B75" s="21" t="s">
        <v>22</v>
      </c>
      <c r="C75" s="21">
        <v>191</v>
      </c>
      <c r="D75" s="48" t="s">
        <v>84</v>
      </c>
      <c r="E75" s="21">
        <v>0</v>
      </c>
      <c r="F75" s="24">
        <v>43755</v>
      </c>
      <c r="G75" s="21"/>
      <c r="H75" s="21" t="str">
        <f>CONCATENATE(Table1[[#This Row],[Order Code]],Table1[[#This Row],[NAME]])</f>
        <v>191墨S</v>
      </c>
    </row>
    <row r="76" spans="1:8" ht="20">
      <c r="A76" s="23">
        <v>74</v>
      </c>
      <c r="B76" s="21" t="s">
        <v>22</v>
      </c>
      <c r="C76" s="21">
        <v>181</v>
      </c>
      <c r="D76" s="21" t="s">
        <v>85</v>
      </c>
      <c r="E76" s="21">
        <v>10</v>
      </c>
      <c r="F76" s="24">
        <v>43812</v>
      </c>
      <c r="G76" s="21">
        <v>1</v>
      </c>
      <c r="H76" s="21" t="str">
        <f>CONCATENATE(Table1[[#This Row],[Order Code]],Table1[[#This Row],[NAME]])</f>
        <v>181ユタカ500265 ピンク</v>
      </c>
    </row>
    <row r="77" spans="1:8" ht="20">
      <c r="A77" s="23">
        <v>75</v>
      </c>
      <c r="B77" s="21" t="s">
        <v>22</v>
      </c>
      <c r="C77" s="21">
        <v>171</v>
      </c>
      <c r="D77" s="21" t="s">
        <v>44</v>
      </c>
      <c r="E77" s="21">
        <v>10</v>
      </c>
      <c r="F77" s="24">
        <v>43697</v>
      </c>
      <c r="G77" s="21"/>
      <c r="H77" s="21" t="str">
        <f>CONCATENATE(Table1[[#This Row],[Order Code]],Table1[[#This Row],[NAME]])</f>
        <v>171ドライバリガードオレンジ</v>
      </c>
    </row>
    <row r="78" spans="1:8" ht="20">
      <c r="A78" s="23">
        <v>76</v>
      </c>
      <c r="B78" s="21" t="s">
        <v>22</v>
      </c>
      <c r="C78" s="21">
        <v>171</v>
      </c>
      <c r="D78" s="21" t="s">
        <v>86</v>
      </c>
      <c r="E78" s="21">
        <v>10</v>
      </c>
      <c r="F78" s="24">
        <v>43340</v>
      </c>
      <c r="G78" s="21"/>
      <c r="H78" s="21" t="str">
        <f>CONCATENATE(Table1[[#This Row],[Order Code]],Table1[[#This Row],[NAME]])</f>
        <v>171D-82 オレンジ</v>
      </c>
    </row>
    <row r="79" spans="1:8" ht="20">
      <c r="A79" s="23">
        <v>77</v>
      </c>
      <c r="B79" s="21" t="s">
        <v>22</v>
      </c>
      <c r="C79" s="21">
        <v>161</v>
      </c>
      <c r="D79" s="21" t="s">
        <v>87</v>
      </c>
      <c r="E79" s="21">
        <v>10</v>
      </c>
      <c r="F79" s="24">
        <v>43697</v>
      </c>
      <c r="G79" s="21">
        <v>1</v>
      </c>
      <c r="H79" s="21" t="str">
        <f>CONCATENATE(Table1[[#This Row],[Order Code]],Table1[[#This Row],[NAME]])</f>
        <v>161ドライスター　黄</v>
      </c>
    </row>
    <row r="80" spans="1:8" ht="20">
      <c r="A80" s="23">
        <v>78</v>
      </c>
      <c r="B80" s="21" t="s">
        <v>22</v>
      </c>
      <c r="C80" s="21">
        <v>161</v>
      </c>
      <c r="D80" s="21" t="s">
        <v>88</v>
      </c>
      <c r="E80" s="21">
        <v>10</v>
      </c>
      <c r="F80" s="24">
        <v>43756</v>
      </c>
      <c r="G80" s="21">
        <v>1</v>
      </c>
      <c r="H80" s="21" t="str">
        <f>CONCATENATE(Table1[[#This Row],[Order Code]],Table1[[#This Row],[NAME]])</f>
        <v>161ニッカサンブリーチ 黄</v>
      </c>
    </row>
    <row r="81" spans="1:8" ht="20">
      <c r="A81" s="23">
        <v>79</v>
      </c>
      <c r="B81" s="21" t="s">
        <v>22</v>
      </c>
      <c r="C81" s="21">
        <v>151</v>
      </c>
      <c r="D81" s="21" t="s">
        <v>89</v>
      </c>
      <c r="E81" s="21">
        <v>10</v>
      </c>
      <c r="F81" s="24">
        <v>43880</v>
      </c>
      <c r="G81" s="21">
        <v>1</v>
      </c>
      <c r="H81" s="21" t="str">
        <f>CONCATENATE(Table1[[#This Row],[Order Code]],Table1[[#This Row],[NAME]])</f>
        <v>151ルピランソープ　緑</v>
      </c>
    </row>
    <row r="82" spans="1:8" ht="20">
      <c r="A82" s="23">
        <v>80</v>
      </c>
      <c r="B82" s="21" t="s">
        <v>22</v>
      </c>
      <c r="C82" s="21">
        <v>151</v>
      </c>
      <c r="D82" s="21" t="s">
        <v>90</v>
      </c>
      <c r="E82" s="21">
        <v>10</v>
      </c>
      <c r="F82" s="24">
        <v>43573</v>
      </c>
      <c r="G82" s="21"/>
      <c r="H82" s="21" t="str">
        <f>CONCATENATE(Table1[[#This Row],[Order Code]],Table1[[#This Row],[NAME]])</f>
        <v>151オーリス　緑</v>
      </c>
    </row>
    <row r="83" spans="1:8" ht="20">
      <c r="A83" s="23">
        <v>81</v>
      </c>
      <c r="B83" s="21" t="s">
        <v>22</v>
      </c>
      <c r="C83" s="21">
        <v>151</v>
      </c>
      <c r="D83" s="21" t="s">
        <v>90</v>
      </c>
      <c r="E83" s="21">
        <v>10</v>
      </c>
      <c r="F83" s="24">
        <v>43573</v>
      </c>
      <c r="G83" s="21"/>
      <c r="H83" s="21" t="str">
        <f>CONCATENATE(Table1[[#This Row],[Order Code]],Table1[[#This Row],[NAME]])</f>
        <v>151オーリス　緑</v>
      </c>
    </row>
    <row r="84" spans="1:8" ht="20">
      <c r="A84" s="23">
        <v>82</v>
      </c>
      <c r="B84" s="21" t="s">
        <v>22</v>
      </c>
      <c r="C84" s="21">
        <v>141</v>
      </c>
      <c r="D84" s="21" t="s">
        <v>91</v>
      </c>
      <c r="E84" s="21">
        <v>10</v>
      </c>
      <c r="F84" s="24">
        <v>43742</v>
      </c>
      <c r="G84" s="21"/>
      <c r="H84" s="21" t="str">
        <f>CONCATENATE(Table1[[#This Row],[Order Code]],Table1[[#This Row],[NAME]])</f>
        <v>141D-2650 緑</v>
      </c>
    </row>
    <row r="85" spans="1:8" ht="20">
      <c r="A85" s="23">
        <v>83</v>
      </c>
      <c r="B85" s="21" t="s">
        <v>22</v>
      </c>
      <c r="C85" s="21">
        <v>141</v>
      </c>
      <c r="D85" s="21" t="s">
        <v>92</v>
      </c>
      <c r="E85" s="21">
        <v>10</v>
      </c>
      <c r="F85" s="24">
        <v>43805</v>
      </c>
      <c r="G85" s="21">
        <v>1</v>
      </c>
      <c r="H85" s="21" t="str">
        <f>CONCATENATE(Table1[[#This Row],[Order Code]],Table1[[#This Row],[NAME]])</f>
        <v>141ELP 緑</v>
      </c>
    </row>
    <row r="86" spans="1:8" ht="20">
      <c r="A86" s="23">
        <v>84</v>
      </c>
      <c r="B86" s="21" t="s">
        <v>22</v>
      </c>
      <c r="C86" s="21">
        <v>141</v>
      </c>
      <c r="D86" s="21" t="s">
        <v>93</v>
      </c>
      <c r="E86" s="21">
        <v>10</v>
      </c>
      <c r="F86" s="24">
        <v>43669</v>
      </c>
      <c r="G86" s="21">
        <v>1</v>
      </c>
      <c r="H86" s="21" t="str">
        <f>CONCATENATE(Table1[[#This Row],[Order Code]],Table1[[#This Row],[NAME]])</f>
        <v>141D-638 緑</v>
      </c>
    </row>
    <row r="87" spans="1:8" ht="20">
      <c r="A87" s="23">
        <v>85</v>
      </c>
      <c r="B87" s="21" t="s">
        <v>22</v>
      </c>
      <c r="C87" s="21">
        <v>222</v>
      </c>
      <c r="D87" s="21" t="s">
        <v>69</v>
      </c>
      <c r="E87" s="21">
        <v>9</v>
      </c>
      <c r="F87" s="24">
        <v>43616</v>
      </c>
      <c r="G87" s="21"/>
      <c r="H87" s="21" t="str">
        <f>CONCATENATE(Table1[[#This Row],[Order Code]],Table1[[#This Row],[NAME]])</f>
        <v>222D-140 青</v>
      </c>
    </row>
    <row r="88" spans="1:8" ht="20">
      <c r="A88" s="23">
        <v>86</v>
      </c>
      <c r="B88" s="21" t="s">
        <v>22</v>
      </c>
      <c r="C88" s="21">
        <v>131</v>
      </c>
      <c r="D88" s="21" t="s">
        <v>65</v>
      </c>
      <c r="E88" s="21">
        <v>10</v>
      </c>
      <c r="F88" s="24">
        <v>43748</v>
      </c>
      <c r="G88" s="21"/>
      <c r="H88" s="21" t="str">
        <f>CONCATENATE(Table1[[#This Row],[Order Code]],Table1[[#This Row],[NAME]])</f>
        <v>131D-641 青(コート)</v>
      </c>
    </row>
    <row r="89" spans="1:8" ht="20">
      <c r="A89" s="23">
        <v>87</v>
      </c>
      <c r="B89" s="21" t="s">
        <v>22</v>
      </c>
      <c r="C89" s="21">
        <v>121</v>
      </c>
      <c r="D89" s="21" t="s">
        <v>67</v>
      </c>
      <c r="E89" s="21">
        <v>10</v>
      </c>
      <c r="F89" s="24">
        <v>43081</v>
      </c>
      <c r="G89" s="21"/>
      <c r="H89" s="21" t="str">
        <f>CONCATENATE(Table1[[#This Row],[Order Code]],Table1[[#This Row],[NAME]])</f>
        <v>121D-2177 青(コート)</v>
      </c>
    </row>
    <row r="90" spans="1:8" ht="20">
      <c r="A90" s="23">
        <v>88</v>
      </c>
      <c r="B90" s="21" t="s">
        <v>22</v>
      </c>
      <c r="C90" s="21">
        <v>121</v>
      </c>
      <c r="D90" s="21" t="s">
        <v>67</v>
      </c>
      <c r="E90" s="21">
        <v>10</v>
      </c>
      <c r="F90" s="24">
        <v>43188</v>
      </c>
      <c r="G90" s="21"/>
      <c r="H90" s="21" t="str">
        <f>CONCATENATE(Table1[[#This Row],[Order Code]],Table1[[#This Row],[NAME]])</f>
        <v>121D-2177 青(コート)</v>
      </c>
    </row>
    <row r="91" spans="1:8" ht="20">
      <c r="A91" s="23">
        <v>89</v>
      </c>
      <c r="B91" s="21" t="s">
        <v>22</v>
      </c>
      <c r="C91" s="21">
        <v>111</v>
      </c>
      <c r="D91" s="21" t="s">
        <v>94</v>
      </c>
      <c r="E91" s="21">
        <v>10</v>
      </c>
      <c r="F91" s="24">
        <v>43573</v>
      </c>
      <c r="G91" s="21">
        <v>1</v>
      </c>
      <c r="H91" s="21" t="str">
        <f>CONCATENATE(Table1[[#This Row],[Order Code]],Table1[[#This Row],[NAME]])</f>
        <v>111イスタポール　青</v>
      </c>
    </row>
    <row r="92" spans="1:8" ht="20">
      <c r="A92" s="23">
        <v>90</v>
      </c>
      <c r="B92" s="21" t="s">
        <v>22</v>
      </c>
      <c r="C92" s="21">
        <v>111</v>
      </c>
      <c r="D92" s="21" t="s">
        <v>94</v>
      </c>
      <c r="E92" s="21">
        <v>10</v>
      </c>
      <c r="F92" s="24">
        <v>43573</v>
      </c>
      <c r="G92" s="21">
        <v>1</v>
      </c>
      <c r="H92" s="21" t="str">
        <f>CONCATENATE(Table1[[#This Row],[Order Code]],Table1[[#This Row],[NAME]])</f>
        <v>111イスタポール　青</v>
      </c>
    </row>
    <row r="93" spans="1:8" ht="20">
      <c r="A93" s="23">
        <v>91</v>
      </c>
      <c r="B93" s="21" t="s">
        <v>22</v>
      </c>
      <c r="C93" s="21">
        <v>111</v>
      </c>
      <c r="D93" s="21" t="s">
        <v>95</v>
      </c>
      <c r="E93" s="21">
        <v>10</v>
      </c>
      <c r="F93" s="24">
        <v>43697</v>
      </c>
      <c r="G93" s="21"/>
      <c r="H93" s="21" t="str">
        <f>CONCATENATE(Table1[[#This Row],[Order Code]],Table1[[#This Row],[NAME]])</f>
        <v>111ドライイスター　青</v>
      </c>
    </row>
    <row r="94" spans="1:8" ht="20">
      <c r="A94" s="23">
        <v>92</v>
      </c>
      <c r="B94" s="21" t="s">
        <v>22</v>
      </c>
      <c r="C94" s="21">
        <v>242</v>
      </c>
      <c r="D94" s="21" t="s">
        <v>96</v>
      </c>
      <c r="E94" s="21">
        <v>10</v>
      </c>
      <c r="F94" s="24">
        <v>43770</v>
      </c>
      <c r="G94" s="21">
        <v>1</v>
      </c>
      <c r="H94" s="21" t="str">
        <f>CONCATENATE(Table1[[#This Row],[Order Code]],Table1[[#This Row],[NAME]])</f>
        <v>242ユタカ　浅葱</v>
      </c>
    </row>
    <row r="95" spans="1:8" ht="20">
      <c r="A95" s="23">
        <v>93</v>
      </c>
      <c r="B95" s="21" t="s">
        <v>22</v>
      </c>
      <c r="C95" s="21">
        <v>101</v>
      </c>
      <c r="D95" s="21" t="s">
        <v>97</v>
      </c>
      <c r="E95" s="21">
        <v>10</v>
      </c>
      <c r="F95" s="24">
        <v>43612</v>
      </c>
      <c r="G95" s="21"/>
      <c r="H95" s="21" t="str">
        <f>CONCATENATE(Table1[[#This Row],[Order Code]],Table1[[#This Row],[NAME]])</f>
        <v>101STERISH N104(4L）　青</v>
      </c>
    </row>
    <row r="96" spans="1:8" ht="20">
      <c r="A96" s="23">
        <v>94</v>
      </c>
      <c r="B96" s="21" t="s">
        <v>22</v>
      </c>
      <c r="C96" s="21">
        <v>101</v>
      </c>
      <c r="D96" s="21" t="s">
        <v>98</v>
      </c>
      <c r="E96" s="21">
        <v>10</v>
      </c>
      <c r="F96" s="24">
        <v>43746</v>
      </c>
      <c r="G96" s="21">
        <v>1</v>
      </c>
      <c r="H96" s="21" t="str">
        <f>CONCATENATE(Table1[[#This Row],[Order Code]],Table1[[#This Row],[NAME]])</f>
        <v>101WASH ハウスソープ　青</v>
      </c>
    </row>
    <row r="97" spans="1:8" ht="20">
      <c r="A97" s="23">
        <v>95</v>
      </c>
      <c r="B97" s="21" t="s">
        <v>22</v>
      </c>
      <c r="C97" s="21">
        <v>101</v>
      </c>
      <c r="D97" s="21" t="s">
        <v>99</v>
      </c>
      <c r="E97" s="21">
        <v>10</v>
      </c>
      <c r="F97" s="24">
        <v>43746</v>
      </c>
      <c r="G97" s="21"/>
      <c r="H97" s="21" t="str">
        <f>CONCATENATE(Table1[[#This Row],[Order Code]],Table1[[#This Row],[NAME]])</f>
        <v>101D-222 紺</v>
      </c>
    </row>
    <row r="98" spans="1:8" ht="20">
      <c r="A98" s="23">
        <v>97</v>
      </c>
      <c r="B98" s="21" t="s">
        <v>22</v>
      </c>
      <c r="C98" s="21">
        <v>303</v>
      </c>
      <c r="D98" s="21" t="s">
        <v>100</v>
      </c>
      <c r="E98" s="21">
        <v>6</v>
      </c>
      <c r="F98" s="24">
        <v>43626</v>
      </c>
      <c r="G98" s="21"/>
      <c r="H98" s="21" t="str">
        <f>CONCATENATE(Table1[[#This Row],[Order Code]],Table1[[#This Row],[NAME]])</f>
        <v>303ユタカ　オレンジ</v>
      </c>
    </row>
    <row r="99" spans="1:8" ht="20">
      <c r="A99" s="23">
        <v>98</v>
      </c>
      <c r="B99" s="21" t="s">
        <v>22</v>
      </c>
      <c r="C99" s="21">
        <v>303</v>
      </c>
      <c r="D99" s="21" t="s">
        <v>100</v>
      </c>
      <c r="E99" s="21">
        <v>6</v>
      </c>
      <c r="F99" s="24">
        <v>43151</v>
      </c>
      <c r="G99" s="21"/>
      <c r="H99" s="21" t="str">
        <f>CONCATENATE(Table1[[#This Row],[Order Code]],Table1[[#This Row],[NAME]])</f>
        <v>303ユタカ　オレンジ</v>
      </c>
    </row>
    <row r="100" spans="1:8" ht="20">
      <c r="A100" s="23">
        <v>99</v>
      </c>
      <c r="B100" s="21" t="s">
        <v>22</v>
      </c>
      <c r="C100" s="21">
        <v>301</v>
      </c>
      <c r="D100" s="21" t="s">
        <v>49</v>
      </c>
      <c r="E100" s="21">
        <v>8</v>
      </c>
      <c r="F100" s="24">
        <v>43634</v>
      </c>
      <c r="G100" s="21">
        <v>1</v>
      </c>
      <c r="H100" s="21" t="str">
        <f>CONCATENATE(Table1[[#This Row],[Order Code]],Table1[[#This Row],[NAME]])</f>
        <v>301シャープ 洗浄剤　ラベル　オレンジ</v>
      </c>
    </row>
    <row r="101" spans="1:8" ht="20">
      <c r="A101" s="23">
        <v>100</v>
      </c>
      <c r="B101" s="21" t="s">
        <v>22</v>
      </c>
      <c r="C101" s="21">
        <v>302</v>
      </c>
      <c r="D101" s="21" t="s">
        <v>82</v>
      </c>
      <c r="E101" s="21">
        <v>8</v>
      </c>
      <c r="F101" s="24">
        <v>43756</v>
      </c>
      <c r="G101" s="21">
        <v>1</v>
      </c>
      <c r="H101" s="21" t="str">
        <f>CONCATENATE(Table1[[#This Row],[Order Code]],Table1[[#This Row],[NAME]])</f>
        <v>302ニッカサンブリーチ　赤</v>
      </c>
    </row>
    <row r="102" spans="1:8" ht="20">
      <c r="A102" s="23">
        <v>101</v>
      </c>
      <c r="B102" s="21" t="s">
        <v>22</v>
      </c>
      <c r="C102" s="21">
        <v>203</v>
      </c>
      <c r="D102" s="21" t="s">
        <v>101</v>
      </c>
      <c r="E102" s="21">
        <v>6</v>
      </c>
      <c r="F102" s="24">
        <v>43720</v>
      </c>
      <c r="G102" s="21">
        <v>1</v>
      </c>
      <c r="H102" s="21" t="str">
        <f>CONCATENATE(Table1[[#This Row],[Order Code]],Table1[[#This Row],[NAME]])</f>
        <v>203ユタカ500249 青</v>
      </c>
    </row>
    <row r="103" spans="1:8" ht="20">
      <c r="A103" s="23">
        <v>102</v>
      </c>
      <c r="B103" s="21" t="s">
        <v>22</v>
      </c>
      <c r="C103" s="21">
        <v>203</v>
      </c>
      <c r="D103" s="21" t="s">
        <v>102</v>
      </c>
      <c r="E103" s="21">
        <v>8</v>
      </c>
      <c r="F103" s="24">
        <v>43842</v>
      </c>
      <c r="G103" s="21">
        <v>1</v>
      </c>
      <c r="H103" s="21" t="str">
        <f>CONCATENATE(Table1[[#This Row],[Order Code]],Table1[[#This Row],[NAME]])</f>
        <v>203エコマックスAN(15K) 青</v>
      </c>
    </row>
    <row r="104" spans="1:8" ht="20">
      <c r="A104" s="23">
        <v>103</v>
      </c>
      <c r="B104" s="21" t="s">
        <v>22</v>
      </c>
      <c r="C104" s="21">
        <v>203</v>
      </c>
      <c r="D104" s="21" t="s">
        <v>103</v>
      </c>
      <c r="E104" s="21">
        <v>7</v>
      </c>
      <c r="F104" s="24">
        <v>43818</v>
      </c>
      <c r="G104" s="21"/>
      <c r="H104" s="21" t="str">
        <f>CONCATENATE(Table1[[#This Row],[Order Code]],Table1[[#This Row],[NAME]])</f>
        <v>203エビトーム　青</v>
      </c>
    </row>
    <row r="105" spans="1:8" ht="20">
      <c r="A105" s="23">
        <v>104</v>
      </c>
      <c r="B105" s="21" t="s">
        <v>22</v>
      </c>
      <c r="C105" s="21">
        <v>202</v>
      </c>
      <c r="D105" s="21" t="s">
        <v>104</v>
      </c>
      <c r="E105" s="21">
        <v>8</v>
      </c>
      <c r="F105" s="24">
        <v>43824</v>
      </c>
      <c r="G105" s="21"/>
      <c r="H105" s="21" t="str">
        <f>CONCATENATE(Table1[[#This Row],[Order Code]],Table1[[#This Row],[NAME]])</f>
        <v>202ニューボン　S20W 青</v>
      </c>
    </row>
    <row r="106" spans="1:8" ht="20">
      <c r="A106" s="23">
        <v>105</v>
      </c>
      <c r="B106" s="21" t="s">
        <v>22</v>
      </c>
      <c r="C106" s="21">
        <v>202</v>
      </c>
      <c r="D106" s="21" t="s">
        <v>105</v>
      </c>
      <c r="E106" s="21">
        <v>8</v>
      </c>
      <c r="F106" s="24">
        <v>43571</v>
      </c>
      <c r="G106" s="21">
        <v>1</v>
      </c>
      <c r="H106" s="21" t="str">
        <f>CONCATENATE(Table1[[#This Row],[Order Code]],Table1[[#This Row],[NAME]])</f>
        <v>202エストラル　水色</v>
      </c>
    </row>
    <row r="107" spans="1:8" ht="20">
      <c r="A107" s="23">
        <v>106</v>
      </c>
      <c r="B107" s="21" t="s">
        <v>22</v>
      </c>
      <c r="C107" s="21">
        <v>213</v>
      </c>
      <c r="D107" s="21" t="s">
        <v>106</v>
      </c>
      <c r="E107" s="21">
        <v>8</v>
      </c>
      <c r="F107" s="24">
        <v>43677</v>
      </c>
      <c r="G107" s="21">
        <v>1</v>
      </c>
      <c r="H107" s="21" t="str">
        <f>CONCATENATE(Table1[[#This Row],[Order Code]],Table1[[#This Row],[NAME]])</f>
        <v>213エコスマイル LQ22 青</v>
      </c>
    </row>
    <row r="108" spans="1:8" ht="20">
      <c r="A108" s="23">
        <v>107</v>
      </c>
      <c r="B108" s="21" t="s">
        <v>22</v>
      </c>
      <c r="C108" s="21">
        <v>103</v>
      </c>
      <c r="D108" s="21" t="s">
        <v>107</v>
      </c>
      <c r="E108" s="21">
        <v>5</v>
      </c>
      <c r="F108" s="24">
        <v>43687</v>
      </c>
      <c r="G108" s="21"/>
      <c r="H108" s="21" t="str">
        <f>CONCATENATE(Table1[[#This Row],[Order Code]],Table1[[#This Row],[NAME]])</f>
        <v>103ユタカ　黄緑</v>
      </c>
    </row>
    <row r="109" spans="1:8" ht="20">
      <c r="A109" s="23">
        <v>108</v>
      </c>
      <c r="B109" s="21" t="s">
        <v>22</v>
      </c>
      <c r="C109" s="21">
        <v>103</v>
      </c>
      <c r="D109" s="21" t="s">
        <v>108</v>
      </c>
      <c r="E109" s="21">
        <v>5</v>
      </c>
      <c r="F109" s="24">
        <v>43770</v>
      </c>
      <c r="G109" s="21"/>
      <c r="H109" s="21" t="str">
        <f>CONCATENATE(Table1[[#This Row],[Order Code]],Table1[[#This Row],[NAME]])</f>
        <v>103D-2568 緑</v>
      </c>
    </row>
    <row r="110" spans="1:8" ht="20">
      <c r="A110" s="23">
        <v>109</v>
      </c>
      <c r="B110" s="21" t="s">
        <v>22</v>
      </c>
      <c r="C110" s="21">
        <v>103</v>
      </c>
      <c r="D110" s="21" t="s">
        <v>108</v>
      </c>
      <c r="E110" s="21">
        <v>5</v>
      </c>
      <c r="F110" s="24">
        <v>43837</v>
      </c>
      <c r="G110" s="21"/>
      <c r="H110" s="21" t="str">
        <f>CONCATENATE(Table1[[#This Row],[Order Code]],Table1[[#This Row],[NAME]])</f>
        <v>103D-2568 緑</v>
      </c>
    </row>
    <row r="111" spans="1:8" ht="20">
      <c r="A111" s="23">
        <v>110</v>
      </c>
      <c r="B111" s="21" t="s">
        <v>22</v>
      </c>
      <c r="C111" s="21">
        <v>103</v>
      </c>
      <c r="D111" s="21" t="s">
        <v>93</v>
      </c>
      <c r="E111" s="21">
        <v>5</v>
      </c>
      <c r="F111" s="24">
        <v>43272</v>
      </c>
      <c r="G111" s="21">
        <v>1</v>
      </c>
      <c r="H111" s="21" t="str">
        <f>CONCATENATE(Table1[[#This Row],[Order Code]],Table1[[#This Row],[NAME]])</f>
        <v>103D-638 緑</v>
      </c>
    </row>
    <row r="112" spans="1:8" ht="20">
      <c r="A112" s="23">
        <v>111</v>
      </c>
      <c r="B112" s="21" t="s">
        <v>22</v>
      </c>
      <c r="C112" s="21">
        <v>153</v>
      </c>
      <c r="D112" s="21" t="s">
        <v>109</v>
      </c>
      <c r="E112" s="21">
        <v>6</v>
      </c>
      <c r="F112" s="24">
        <v>43742</v>
      </c>
      <c r="G112" s="21">
        <v>1</v>
      </c>
      <c r="H112" s="21" t="str">
        <f>CONCATENATE(Table1[[#This Row],[Order Code]],Table1[[#This Row],[NAME]])</f>
        <v>153D-2560 緑</v>
      </c>
    </row>
    <row r="113" spans="1:8" ht="20">
      <c r="A113" s="23">
        <v>112</v>
      </c>
      <c r="B113" s="21" t="s">
        <v>22</v>
      </c>
      <c r="C113" s="21">
        <v>153</v>
      </c>
      <c r="D113" s="21" t="s">
        <v>109</v>
      </c>
      <c r="E113" s="21">
        <v>4</v>
      </c>
      <c r="F113" s="24">
        <v>43616</v>
      </c>
      <c r="G113" s="21">
        <v>1</v>
      </c>
      <c r="H113" s="21" t="str">
        <f>CONCATENATE(Table1[[#This Row],[Order Code]],Table1[[#This Row],[NAME]])</f>
        <v>153D-2560 緑</v>
      </c>
    </row>
    <row r="114" spans="1:8" ht="20">
      <c r="A114" s="23">
        <v>113</v>
      </c>
      <c r="B114" s="21" t="s">
        <v>22</v>
      </c>
      <c r="C114" s="21">
        <v>153</v>
      </c>
      <c r="D114" s="21" t="s">
        <v>109</v>
      </c>
      <c r="E114" s="21">
        <v>5</v>
      </c>
      <c r="F114" s="24">
        <v>43616</v>
      </c>
      <c r="G114" s="21">
        <v>1</v>
      </c>
      <c r="H114" s="21" t="str">
        <f>CONCATENATE(Table1[[#This Row],[Order Code]],Table1[[#This Row],[NAME]])</f>
        <v>153D-2560 緑</v>
      </c>
    </row>
    <row r="115" spans="1:8" ht="20">
      <c r="A115" s="23">
        <v>114</v>
      </c>
      <c r="B115" s="21" t="s">
        <v>22</v>
      </c>
      <c r="C115" s="21">
        <v>153</v>
      </c>
      <c r="D115" s="21" t="s">
        <v>109</v>
      </c>
      <c r="E115" s="21">
        <v>2</v>
      </c>
      <c r="F115" s="24">
        <v>43293</v>
      </c>
      <c r="G115" s="21">
        <v>1</v>
      </c>
      <c r="H115" s="21" t="str">
        <f>CONCATENATE(Table1[[#This Row],[Order Code]],Table1[[#This Row],[NAME]])</f>
        <v>153D-2560 緑</v>
      </c>
    </row>
    <row r="116" spans="1:8" ht="20">
      <c r="A116" s="23">
        <v>116</v>
      </c>
      <c r="B116" s="21" t="s">
        <v>22</v>
      </c>
      <c r="C116" s="21">
        <v>303</v>
      </c>
      <c r="D116" s="21" t="s">
        <v>110</v>
      </c>
      <c r="E116" s="21">
        <v>6</v>
      </c>
      <c r="F116" s="24">
        <v>43580</v>
      </c>
      <c r="G116" s="21">
        <v>1</v>
      </c>
      <c r="H116" s="21" t="str">
        <f>CONCATENATE(Table1[[#This Row],[Order Code]],Table1[[#This Row],[NAME]])</f>
        <v>303ドライスター  黄</v>
      </c>
    </row>
    <row r="117" spans="1:8" ht="20">
      <c r="A117" s="23">
        <v>117</v>
      </c>
      <c r="B117" s="21" t="s">
        <v>22</v>
      </c>
      <c r="C117" s="21">
        <v>313</v>
      </c>
      <c r="D117" s="21" t="s">
        <v>111</v>
      </c>
      <c r="E117" s="21">
        <v>8</v>
      </c>
      <c r="F117" s="24">
        <v>43679</v>
      </c>
      <c r="G117" s="21">
        <v>1</v>
      </c>
      <c r="H117" s="21" t="str">
        <f>CONCATENATE(Table1[[#This Row],[Order Code]],Table1[[#This Row],[NAME]])</f>
        <v>313ケアソフター17KG 黄</v>
      </c>
    </row>
    <row r="118" spans="1:8" ht="20">
      <c r="A118" s="23">
        <v>118</v>
      </c>
      <c r="B118" s="21" t="s">
        <v>22</v>
      </c>
      <c r="C118" s="21">
        <v>232</v>
      </c>
      <c r="D118" s="21" t="s">
        <v>112</v>
      </c>
      <c r="E118" s="21">
        <v>8</v>
      </c>
      <c r="F118" s="24">
        <v>43594</v>
      </c>
      <c r="G118" s="21"/>
      <c r="H118" s="21" t="str">
        <f>CONCATENATE(Table1[[#This Row],[Order Code]],Table1[[#This Row],[NAME]])</f>
        <v>232STERISH A105(5L) 黄</v>
      </c>
    </row>
    <row r="119" spans="1:8" ht="20">
      <c r="A119" s="23">
        <v>119</v>
      </c>
      <c r="B119" s="21" t="s">
        <v>22</v>
      </c>
      <c r="C119" s="21">
        <v>323</v>
      </c>
      <c r="D119" s="21" t="s">
        <v>112</v>
      </c>
      <c r="E119" s="21">
        <v>8</v>
      </c>
      <c r="F119" s="24">
        <v>43858</v>
      </c>
      <c r="G119" s="21"/>
      <c r="H119" s="21" t="str">
        <f>CONCATENATE(Table1[[#This Row],[Order Code]],Table1[[#This Row],[NAME]])</f>
        <v>323STERISH A105(5L) 黄</v>
      </c>
    </row>
    <row r="120" spans="1:8" ht="20">
      <c r="A120" s="23">
        <v>120</v>
      </c>
      <c r="B120" s="21" t="s">
        <v>22</v>
      </c>
      <c r="C120" s="21">
        <v>293</v>
      </c>
      <c r="D120" s="21" t="s">
        <v>113</v>
      </c>
      <c r="E120" s="21">
        <v>8</v>
      </c>
      <c r="F120" s="24">
        <v>43605</v>
      </c>
      <c r="G120" s="21"/>
      <c r="H120" s="21" t="str">
        <f>CONCATENATE(Table1[[#This Row],[Order Code]],Table1[[#This Row],[NAME]])</f>
        <v>293トリノユサン表　黄</v>
      </c>
    </row>
    <row r="121" spans="1:8" ht="20">
      <c r="A121" s="23">
        <v>121</v>
      </c>
      <c r="B121" s="21" t="s">
        <v>22</v>
      </c>
      <c r="C121" s="21">
        <v>343</v>
      </c>
      <c r="D121" s="21" t="s">
        <v>114</v>
      </c>
      <c r="E121" s="21">
        <v>6</v>
      </c>
      <c r="F121" s="24">
        <v>42710</v>
      </c>
      <c r="G121" s="21"/>
      <c r="H121" s="21" t="str">
        <f>CONCATENATE(Table1[[#This Row],[Order Code]],Table1[[#This Row],[NAME]])</f>
        <v>343D-164 黄土(コート)</v>
      </c>
    </row>
    <row r="122" spans="1:8" ht="20">
      <c r="A122" s="23">
        <v>122</v>
      </c>
      <c r="B122" s="21" t="s">
        <v>22</v>
      </c>
      <c r="C122" s="21">
        <v>343</v>
      </c>
      <c r="D122" s="21" t="s">
        <v>115</v>
      </c>
      <c r="E122" s="21">
        <v>8</v>
      </c>
      <c r="F122" s="24">
        <v>43699</v>
      </c>
      <c r="G122" s="21">
        <v>1</v>
      </c>
      <c r="H122" s="21" t="str">
        <f>CONCATENATE(Table1[[#This Row],[Order Code]],Table1[[#This Row],[NAME]])</f>
        <v>343D-570 黄</v>
      </c>
    </row>
    <row r="123" spans="1:8" ht="20">
      <c r="A123" s="23">
        <v>123</v>
      </c>
      <c r="B123" s="21" t="s">
        <v>22</v>
      </c>
      <c r="C123" s="21">
        <v>283</v>
      </c>
      <c r="D123" s="21" t="s">
        <v>116</v>
      </c>
      <c r="E123" s="21">
        <v>8</v>
      </c>
      <c r="F123" s="24">
        <v>43732</v>
      </c>
      <c r="G123" s="21">
        <v>1</v>
      </c>
      <c r="H123" s="21" t="str">
        <f>CONCATENATE(Table1[[#This Row],[Order Code]],Table1[[#This Row],[NAME]])</f>
        <v>283ルピランソープ　黄</v>
      </c>
    </row>
    <row r="124" spans="1:8" ht="20">
      <c r="A124" s="23">
        <v>124</v>
      </c>
      <c r="B124" s="21" t="s">
        <v>22</v>
      </c>
      <c r="C124" s="21">
        <v>333</v>
      </c>
      <c r="D124" s="21" t="s">
        <v>117</v>
      </c>
      <c r="E124" s="21">
        <v>8</v>
      </c>
      <c r="F124" s="24">
        <v>43742</v>
      </c>
      <c r="G124" s="21"/>
      <c r="H124" s="21" t="str">
        <f>CONCATENATE(Table1[[#This Row],[Order Code]],Table1[[#This Row],[NAME]])</f>
        <v>333ルピランソーフター　黄</v>
      </c>
    </row>
    <row r="125" spans="1:8" ht="20">
      <c r="A125" s="23">
        <v>125</v>
      </c>
      <c r="B125" s="21" t="s">
        <v>22</v>
      </c>
      <c r="C125" s="21">
        <v>343</v>
      </c>
      <c r="D125" s="21" t="s">
        <v>118</v>
      </c>
      <c r="E125" s="21">
        <v>8</v>
      </c>
      <c r="F125" s="24">
        <v>43602</v>
      </c>
      <c r="G125" s="21"/>
      <c r="H125" s="21" t="str">
        <f>CONCATENATE(Table1[[#This Row],[Order Code]],Table1[[#This Row],[NAME]])</f>
        <v>343テクノザイム401 黄</v>
      </c>
    </row>
    <row r="126" spans="1:8" ht="20">
      <c r="A126" s="23">
        <v>126</v>
      </c>
      <c r="B126" s="21" t="s">
        <v>22</v>
      </c>
      <c r="C126" s="21">
        <v>313</v>
      </c>
      <c r="D126" s="21" t="s">
        <v>248</v>
      </c>
      <c r="E126" s="21">
        <v>8</v>
      </c>
      <c r="F126" s="24">
        <v>43770</v>
      </c>
      <c r="G126" s="21"/>
      <c r="H126" s="21" t="str">
        <f>CONCATENATE(Table1[[#This Row],[Order Code]],Table1[[#This Row],[NAME]])</f>
        <v>313パルトナソフター　黄土</v>
      </c>
    </row>
    <row r="127" spans="1:8" ht="20">
      <c r="A127" s="23">
        <v>127</v>
      </c>
      <c r="B127" s="21" t="s">
        <v>22</v>
      </c>
      <c r="C127" s="21">
        <v>313</v>
      </c>
      <c r="D127" s="21" t="s">
        <v>119</v>
      </c>
      <c r="E127" s="21">
        <v>8</v>
      </c>
      <c r="F127" s="24">
        <v>43712</v>
      </c>
      <c r="G127" s="21">
        <v>1</v>
      </c>
      <c r="H127" s="21" t="str">
        <f>CONCATENATE(Table1[[#This Row],[Order Code]],Table1[[#This Row],[NAME]])</f>
        <v>313ユタカ　黄</v>
      </c>
    </row>
    <row r="128" spans="1:8" ht="20">
      <c r="A128" s="23">
        <v>128</v>
      </c>
      <c r="B128" s="21" t="s">
        <v>22</v>
      </c>
      <c r="C128" s="21">
        <v>333</v>
      </c>
      <c r="D128" s="21" t="s">
        <v>120</v>
      </c>
      <c r="E128" s="21">
        <v>8</v>
      </c>
      <c r="F128" s="24">
        <v>43756</v>
      </c>
      <c r="G128" s="21">
        <v>1</v>
      </c>
      <c r="H128" s="21" t="str">
        <f>CONCATENATE(Table1[[#This Row],[Order Code]],Table1[[#This Row],[NAME]])</f>
        <v>333ニッカサンブリーチ　黄</v>
      </c>
    </row>
    <row r="129" spans="1:8" ht="20">
      <c r="A129" s="23">
        <v>129</v>
      </c>
      <c r="B129" s="21" t="s">
        <v>22</v>
      </c>
      <c r="C129" s="21">
        <v>333</v>
      </c>
      <c r="D129" s="21" t="s">
        <v>121</v>
      </c>
      <c r="E129" s="21">
        <v>8</v>
      </c>
      <c r="F129" s="24">
        <v>43759</v>
      </c>
      <c r="G129" s="21">
        <v>1</v>
      </c>
      <c r="H129" s="21" t="str">
        <f>CONCATENATE(Table1[[#This Row],[Order Code]],Table1[[#This Row],[NAME]])</f>
        <v>333酸素系NA05 黄</v>
      </c>
    </row>
    <row r="130" spans="1:8" ht="20">
      <c r="A130" s="23">
        <v>130</v>
      </c>
      <c r="B130" s="21" t="s">
        <v>22</v>
      </c>
      <c r="C130" s="21">
        <v>373</v>
      </c>
      <c r="D130" s="21" t="s">
        <v>122</v>
      </c>
      <c r="E130" s="21">
        <v>8</v>
      </c>
      <c r="F130" s="24">
        <v>43742</v>
      </c>
      <c r="G130" s="21">
        <v>1</v>
      </c>
      <c r="H130" s="21" t="str">
        <f>CONCATENATE(Table1[[#This Row],[Order Code]],Table1[[#This Row],[NAME]])</f>
        <v>373ルピランソフター　ピンク</v>
      </c>
    </row>
    <row r="131" spans="1:8" ht="20">
      <c r="A131" s="23">
        <v>131</v>
      </c>
      <c r="B131" s="21" t="s">
        <v>22</v>
      </c>
      <c r="C131" s="21">
        <v>283</v>
      </c>
      <c r="D131" s="21" t="s">
        <v>122</v>
      </c>
      <c r="E131" s="21">
        <v>8</v>
      </c>
      <c r="F131" s="24">
        <v>43742</v>
      </c>
      <c r="G131" s="21">
        <v>1</v>
      </c>
      <c r="H131" s="21" t="str">
        <f>CONCATENATE(Table1[[#This Row],[Order Code]],Table1[[#This Row],[NAME]])</f>
        <v>283ルピランソフター　ピンク</v>
      </c>
    </row>
    <row r="132" spans="1:8" ht="20">
      <c r="A132" s="23">
        <v>132</v>
      </c>
      <c r="B132" s="21" t="s">
        <v>22</v>
      </c>
      <c r="C132" s="21">
        <v>373</v>
      </c>
      <c r="D132" s="21" t="s">
        <v>122</v>
      </c>
      <c r="E132" s="21">
        <v>8</v>
      </c>
      <c r="F132" s="24">
        <v>43571</v>
      </c>
      <c r="G132" s="21">
        <v>1</v>
      </c>
      <c r="H132" s="21" t="str">
        <f>CONCATENATE(Table1[[#This Row],[Order Code]],Table1[[#This Row],[NAME]])</f>
        <v>373ルピランソフター　ピンク</v>
      </c>
    </row>
    <row r="133" spans="1:8" ht="20">
      <c r="A133" s="23">
        <v>133</v>
      </c>
      <c r="B133" s="21" t="s">
        <v>22</v>
      </c>
      <c r="C133" s="21">
        <v>383</v>
      </c>
      <c r="D133" s="21" t="s">
        <v>123</v>
      </c>
      <c r="E133" s="21">
        <v>6</v>
      </c>
      <c r="F133" s="24">
        <v>42667</v>
      </c>
      <c r="G133" s="21"/>
      <c r="H133" s="21" t="str">
        <f>CONCATENATE(Table1[[#This Row],[Order Code]],Table1[[#This Row],[NAME]])</f>
        <v>383D-276 ピンク(コート）</v>
      </c>
    </row>
    <row r="134" spans="1:8" ht="20">
      <c r="A134" s="23">
        <v>134</v>
      </c>
      <c r="B134" s="21" t="s">
        <v>22</v>
      </c>
      <c r="C134" s="21">
        <v>383</v>
      </c>
      <c r="D134" s="21" t="s">
        <v>29</v>
      </c>
      <c r="E134" s="21">
        <v>8</v>
      </c>
      <c r="F134" s="24">
        <v>43746</v>
      </c>
      <c r="G134" s="21"/>
      <c r="H134" s="21" t="str">
        <f>CONCATENATE(Table1[[#This Row],[Order Code]],Table1[[#This Row],[NAME]])</f>
        <v>383D-276 ピンク</v>
      </c>
    </row>
    <row r="135" spans="1:8" ht="20">
      <c r="A135" s="23">
        <v>135</v>
      </c>
      <c r="B135" s="21" t="s">
        <v>22</v>
      </c>
      <c r="C135" s="21"/>
      <c r="D135" s="21" t="s">
        <v>124</v>
      </c>
      <c r="E135" s="21"/>
      <c r="F135" s="21" t="s">
        <v>125</v>
      </c>
      <c r="G135" s="21"/>
      <c r="H135" s="21" t="str">
        <f>CONCATENATE(Table1[[#This Row],[Order Code]],Table1[[#This Row],[NAME]])</f>
        <v>カイトコイン</v>
      </c>
    </row>
    <row r="136" spans="1:8" ht="20">
      <c r="A136" s="23">
        <v>136</v>
      </c>
      <c r="B136" s="21" t="s">
        <v>22</v>
      </c>
      <c r="C136" s="21"/>
      <c r="D136" s="21" t="s">
        <v>124</v>
      </c>
      <c r="E136" s="21"/>
      <c r="F136" s="21" t="s">
        <v>125</v>
      </c>
      <c r="G136" s="21"/>
      <c r="H136" s="21" t="str">
        <f>CONCATENATE(Table1[[#This Row],[Order Code]],Table1[[#This Row],[NAME]])</f>
        <v>カイトコイン</v>
      </c>
    </row>
    <row r="137" spans="1:8" ht="20">
      <c r="A137" s="23">
        <v>137</v>
      </c>
      <c r="B137" s="21" t="s">
        <v>22</v>
      </c>
      <c r="C137" s="21">
        <v>3103</v>
      </c>
      <c r="D137" s="21" t="s">
        <v>80</v>
      </c>
      <c r="E137" s="21">
        <v>7</v>
      </c>
      <c r="F137" s="24">
        <v>43742</v>
      </c>
      <c r="G137" s="21">
        <v>1</v>
      </c>
      <c r="H137" s="21" t="str">
        <f>CONCATENATE(Table1[[#This Row],[Order Code]],Table1[[#This Row],[NAME]])</f>
        <v>3103D-156 赤</v>
      </c>
    </row>
    <row r="138" spans="1:8" ht="20">
      <c r="A138" s="23">
        <v>138</v>
      </c>
      <c r="B138" s="21" t="s">
        <v>22</v>
      </c>
      <c r="C138" s="21">
        <v>3103</v>
      </c>
      <c r="D138" s="21" t="s">
        <v>80</v>
      </c>
      <c r="E138" s="21">
        <v>6</v>
      </c>
      <c r="F138" s="24">
        <v>43482</v>
      </c>
      <c r="G138" s="21">
        <v>1</v>
      </c>
      <c r="H138" s="21" t="str">
        <f>CONCATENATE(Table1[[#This Row],[Order Code]],Table1[[#This Row],[NAME]])</f>
        <v>3103D-156 赤</v>
      </c>
    </row>
    <row r="139" spans="1:8" ht="20">
      <c r="A139" s="23">
        <v>140</v>
      </c>
      <c r="B139" s="21" t="s">
        <v>22</v>
      </c>
      <c r="C139" s="21">
        <v>212</v>
      </c>
      <c r="D139" s="21" t="s">
        <v>126</v>
      </c>
      <c r="E139" s="21">
        <v>8</v>
      </c>
      <c r="F139" s="24">
        <v>43573</v>
      </c>
      <c r="G139" s="21">
        <v>1</v>
      </c>
      <c r="H139" s="21" t="str">
        <f>CONCATENATE(Table1[[#This Row],[Order Code]],Table1[[#This Row],[NAME]])</f>
        <v>212エストラル　青</v>
      </c>
    </row>
    <row r="140" spans="1:8" ht="20">
      <c r="A140" s="23">
        <v>141</v>
      </c>
      <c r="B140" s="21" t="s">
        <v>22</v>
      </c>
      <c r="C140" s="21">
        <v>212</v>
      </c>
      <c r="D140" s="21" t="s">
        <v>127</v>
      </c>
      <c r="E140" s="21">
        <v>8</v>
      </c>
      <c r="F140" s="24">
        <v>43677</v>
      </c>
      <c r="G140" s="21">
        <v>1</v>
      </c>
      <c r="H140" s="21" t="str">
        <f>CONCATENATE(Table1[[#This Row],[Order Code]],Table1[[#This Row],[NAME]])</f>
        <v>212シーテックK 水色</v>
      </c>
    </row>
    <row r="141" spans="1:8" ht="20">
      <c r="A141" s="23">
        <v>142</v>
      </c>
      <c r="B141" s="21" t="s">
        <v>22</v>
      </c>
      <c r="C141" s="21">
        <v>212</v>
      </c>
      <c r="D141" s="21" t="s">
        <v>243</v>
      </c>
      <c r="E141" s="21">
        <v>8</v>
      </c>
      <c r="F141" s="24">
        <v>43679</v>
      </c>
      <c r="G141" s="21">
        <v>1</v>
      </c>
      <c r="H141" s="21" t="str">
        <f>CONCATENATE(Table1[[#This Row],[Order Code]],Table1[[#This Row],[NAME]])</f>
        <v>212テクノクリアN5L 水色 D2166?</v>
      </c>
    </row>
    <row r="142" spans="1:8" ht="20">
      <c r="A142" s="23">
        <v>143</v>
      </c>
      <c r="B142" s="21" t="s">
        <v>22</v>
      </c>
      <c r="C142" s="21">
        <v>222</v>
      </c>
      <c r="D142" s="21" t="s">
        <v>55</v>
      </c>
      <c r="E142" s="21">
        <v>8</v>
      </c>
      <c r="F142" s="24">
        <v>43616</v>
      </c>
      <c r="G142" s="21"/>
      <c r="H142" s="21" t="str">
        <f>CONCATENATE(Table1[[#This Row],[Order Code]],Table1[[#This Row],[NAME]])</f>
        <v>222D-181 青</v>
      </c>
    </row>
    <row r="143" spans="1:8" ht="20">
      <c r="A143" s="23">
        <v>144</v>
      </c>
      <c r="B143" s="21" t="s">
        <v>22</v>
      </c>
      <c r="C143" s="21">
        <v>293</v>
      </c>
      <c r="D143" s="21" t="s">
        <v>128</v>
      </c>
      <c r="E143" s="21">
        <v>6</v>
      </c>
      <c r="F143" s="24">
        <v>43747</v>
      </c>
      <c r="G143" s="21">
        <v>1</v>
      </c>
      <c r="H143" s="21" t="str">
        <f>CONCATENATE(Table1[[#This Row],[Order Code]],Table1[[#This Row],[NAME]])</f>
        <v>293トリノコサン　青</v>
      </c>
    </row>
    <row r="144" spans="1:8" ht="20">
      <c r="A144" s="23">
        <v>145</v>
      </c>
      <c r="B144" s="21" t="s">
        <v>22</v>
      </c>
      <c r="C144" s="21">
        <v>232</v>
      </c>
      <c r="D144" s="21" t="s">
        <v>129</v>
      </c>
      <c r="E144" s="21">
        <v>8</v>
      </c>
      <c r="F144" s="24">
        <v>43756</v>
      </c>
      <c r="G144" s="21">
        <v>1</v>
      </c>
      <c r="H144" s="21" t="str">
        <f>CONCATENATE(Table1[[#This Row],[Order Code]],Table1[[#This Row],[NAME]])</f>
        <v>232ニッカサンブリーチ　青</v>
      </c>
    </row>
    <row r="145" spans="1:8" ht="20">
      <c r="A145" s="23">
        <v>146</v>
      </c>
      <c r="B145" s="21" t="s">
        <v>22</v>
      </c>
      <c r="C145" s="21">
        <v>232</v>
      </c>
      <c r="D145" s="21" t="s">
        <v>130</v>
      </c>
      <c r="E145" s="21">
        <v>8</v>
      </c>
      <c r="F145" s="24">
        <v>43612</v>
      </c>
      <c r="G145" s="21"/>
      <c r="H145" s="21" t="str">
        <f>CONCATENATE(Table1[[#This Row],[Order Code]],Table1[[#This Row],[NAME]])</f>
        <v>232STERISH N104(4L）　水色</v>
      </c>
    </row>
    <row r="146" spans="1:8" ht="20">
      <c r="A146" s="23">
        <v>147</v>
      </c>
      <c r="B146" s="21" t="s">
        <v>22</v>
      </c>
      <c r="C146" s="21">
        <v>323</v>
      </c>
      <c r="D146" s="21" t="s">
        <v>131</v>
      </c>
      <c r="E146" s="21">
        <v>6</v>
      </c>
      <c r="F146" s="24">
        <v>43594</v>
      </c>
      <c r="G146" s="21"/>
      <c r="H146" s="21" t="str">
        <f>CONCATENATE(Table1[[#This Row],[Order Code]],Table1[[#This Row],[NAME]])</f>
        <v>323STERISH N105(5L) 青</v>
      </c>
    </row>
    <row r="147" spans="1:8" ht="20">
      <c r="A147" s="23">
        <v>148</v>
      </c>
      <c r="B147" s="21" t="s">
        <v>22</v>
      </c>
      <c r="C147" s="21">
        <v>252</v>
      </c>
      <c r="D147" s="21" t="s">
        <v>132</v>
      </c>
      <c r="E147" s="21" t="s">
        <v>46</v>
      </c>
      <c r="F147" s="24">
        <v>43573</v>
      </c>
      <c r="G147" s="21">
        <v>1</v>
      </c>
      <c r="H147" s="21" t="str">
        <f>CONCATENATE(Table1[[#This Row],[Order Code]],Table1[[#This Row],[NAME]])</f>
        <v>252アトムベッド　青</v>
      </c>
    </row>
    <row r="148" spans="1:8" ht="20">
      <c r="A148" s="23">
        <v>149</v>
      </c>
      <c r="B148" s="21" t="s">
        <v>22</v>
      </c>
      <c r="C148" s="21">
        <v>242</v>
      </c>
      <c r="D148" s="21" t="s">
        <v>133</v>
      </c>
      <c r="E148" s="21">
        <v>4</v>
      </c>
      <c r="F148" s="24">
        <v>43151</v>
      </c>
      <c r="G148" s="21"/>
      <c r="H148" s="21" t="str">
        <f>CONCATENATE(Table1[[#This Row],[Order Code]],Table1[[#This Row],[NAME]])</f>
        <v>242ユタカ　水色</v>
      </c>
    </row>
    <row r="149" spans="1:8" ht="20">
      <c r="A149" s="23">
        <v>150</v>
      </c>
      <c r="B149" s="21" t="s">
        <v>22</v>
      </c>
      <c r="C149" s="21">
        <v>242</v>
      </c>
      <c r="D149" s="21" t="s">
        <v>134</v>
      </c>
      <c r="E149" s="21">
        <v>6</v>
      </c>
      <c r="F149" s="24">
        <v>43590</v>
      </c>
      <c r="G149" s="21">
        <v>1</v>
      </c>
      <c r="H149" s="21" t="str">
        <f>CONCATENATE(Table1[[#This Row],[Order Code]],Table1[[#This Row],[NAME]])</f>
        <v>242メディカール NX20 青</v>
      </c>
    </row>
    <row r="150" spans="1:8" ht="20">
      <c r="A150" s="23">
        <v>151</v>
      </c>
      <c r="B150" s="21" t="s">
        <v>22</v>
      </c>
      <c r="C150" s="21">
        <v>252</v>
      </c>
      <c r="D150" s="21" t="s">
        <v>135</v>
      </c>
      <c r="E150" s="21">
        <v>4</v>
      </c>
      <c r="F150" s="24">
        <v>43621</v>
      </c>
      <c r="G150" s="21">
        <v>1</v>
      </c>
      <c r="H150" s="21" t="str">
        <f>CONCATENATE(Table1[[#This Row],[Order Code]],Table1[[#This Row],[NAME]])</f>
        <v>252ソーピーセブン　紺</v>
      </c>
    </row>
    <row r="151" spans="1:8" ht="20">
      <c r="A151" s="23">
        <v>152</v>
      </c>
      <c r="B151" s="21" t="s">
        <v>22</v>
      </c>
      <c r="C151" s="21">
        <v>252</v>
      </c>
      <c r="D151" s="21" t="s">
        <v>136</v>
      </c>
      <c r="E151" s="21">
        <v>6</v>
      </c>
      <c r="F151" s="24">
        <v>43707</v>
      </c>
      <c r="G151" s="21">
        <v>1</v>
      </c>
      <c r="H151" s="21" t="str">
        <f>CONCATENATE(Table1[[#This Row],[Order Code]],Table1[[#This Row],[NAME]])</f>
        <v>252シプロ化成　紺藍</v>
      </c>
    </row>
    <row r="152" spans="1:8" ht="20">
      <c r="A152" s="23">
        <v>153</v>
      </c>
      <c r="B152" s="21" t="s">
        <v>22</v>
      </c>
      <c r="C152" s="21">
        <v>262</v>
      </c>
      <c r="D152" s="21" t="s">
        <v>137</v>
      </c>
      <c r="E152" s="21">
        <v>3</v>
      </c>
      <c r="F152" s="24">
        <v>43746</v>
      </c>
      <c r="G152" s="21">
        <v>1</v>
      </c>
      <c r="H152" s="21" t="str">
        <f>CONCATENATE(Table1[[#This Row],[Order Code]],Table1[[#This Row],[NAME]])</f>
        <v>262ニッカサンブリーチ　紺</v>
      </c>
    </row>
    <row r="153" spans="1:8" ht="20">
      <c r="A153" s="23">
        <v>154</v>
      </c>
      <c r="B153" s="21" t="s">
        <v>22</v>
      </c>
      <c r="C153" s="21">
        <v>262</v>
      </c>
      <c r="D153" s="21" t="s">
        <v>138</v>
      </c>
      <c r="E153" s="21">
        <v>4</v>
      </c>
      <c r="F153" s="24">
        <v>43805</v>
      </c>
      <c r="G153" s="21">
        <v>1</v>
      </c>
      <c r="H153" s="21" t="str">
        <f>CONCATENATE(Table1[[#This Row],[Order Code]],Table1[[#This Row],[NAME]])</f>
        <v>262スペクトロ　紺</v>
      </c>
    </row>
    <row r="154" spans="1:8" ht="20">
      <c r="A154" s="23">
        <v>155</v>
      </c>
      <c r="B154" s="21" t="s">
        <v>22</v>
      </c>
      <c r="C154" s="21">
        <v>262</v>
      </c>
      <c r="D154" s="21" t="s">
        <v>99</v>
      </c>
      <c r="E154" s="21">
        <v>4</v>
      </c>
      <c r="F154" s="24">
        <v>43699</v>
      </c>
      <c r="G154" s="21"/>
      <c r="H154" s="21" t="str">
        <f>CONCATENATE(Table1[[#This Row],[Order Code]],Table1[[#This Row],[NAME]])</f>
        <v>262D-222 紺</v>
      </c>
    </row>
    <row r="155" spans="1:8" ht="20">
      <c r="A155" s="23">
        <v>156</v>
      </c>
      <c r="B155" s="21" t="s">
        <v>22</v>
      </c>
      <c r="C155" s="21">
        <v>272</v>
      </c>
      <c r="D155" s="21" t="s">
        <v>139</v>
      </c>
      <c r="E155" s="21">
        <v>9</v>
      </c>
      <c r="F155" s="24">
        <v>42769</v>
      </c>
      <c r="G155" s="21">
        <v>1</v>
      </c>
      <c r="H155" s="21" t="str">
        <f>CONCATENATE(Table1[[#This Row],[Order Code]],Table1[[#This Row],[NAME]])</f>
        <v>272UVカット　紺　500238</v>
      </c>
    </row>
    <row r="156" spans="1:8" ht="20">
      <c r="A156" s="23">
        <v>157</v>
      </c>
      <c r="B156" s="21" t="s">
        <v>22</v>
      </c>
      <c r="C156" s="21">
        <v>272</v>
      </c>
      <c r="D156" s="21" t="s">
        <v>139</v>
      </c>
      <c r="E156" s="21">
        <v>8</v>
      </c>
      <c r="F156" s="24">
        <v>43697</v>
      </c>
      <c r="G156" s="21">
        <v>1</v>
      </c>
      <c r="H156" s="21" t="str">
        <f>CONCATENATE(Table1[[#This Row],[Order Code]],Table1[[#This Row],[NAME]])</f>
        <v>272UVカット　紺　500238</v>
      </c>
    </row>
    <row r="157" spans="1:8" ht="20">
      <c r="A157" s="23">
        <v>158</v>
      </c>
      <c r="B157" s="21" t="s">
        <v>22</v>
      </c>
      <c r="C157" s="21">
        <v>272</v>
      </c>
      <c r="D157" s="21" t="s">
        <v>140</v>
      </c>
      <c r="E157" s="21">
        <v>7</v>
      </c>
      <c r="F157" s="24">
        <v>43742</v>
      </c>
      <c r="G157" s="21">
        <v>1</v>
      </c>
      <c r="H157" s="21" t="str">
        <f>CONCATENATE(Table1[[#This Row],[Order Code]],Table1[[#This Row],[NAME]])</f>
        <v>272VF365 紺</v>
      </c>
    </row>
    <row r="158" spans="1:8" ht="20">
      <c r="A158" s="23">
        <v>159</v>
      </c>
      <c r="B158" s="21" t="s">
        <v>22</v>
      </c>
      <c r="C158" s="21">
        <v>282</v>
      </c>
      <c r="D158" s="21" t="s">
        <v>141</v>
      </c>
      <c r="E158" s="21">
        <v>2</v>
      </c>
      <c r="F158" s="24">
        <v>43101</v>
      </c>
      <c r="G158" s="21">
        <v>1</v>
      </c>
      <c r="H158" s="21" t="str">
        <f>CONCATENATE(Table1[[#This Row],[Order Code]],Table1[[#This Row],[NAME]])</f>
        <v>282D-99 青</v>
      </c>
    </row>
    <row r="159" spans="1:8" ht="20">
      <c r="A159" s="23">
        <v>160</v>
      </c>
      <c r="B159" s="21" t="s">
        <v>22</v>
      </c>
      <c r="C159" s="21">
        <v>282</v>
      </c>
      <c r="D159" s="21" t="s">
        <v>125</v>
      </c>
      <c r="E159" s="21"/>
      <c r="F159" s="21" t="s">
        <v>125</v>
      </c>
      <c r="G159" s="21"/>
      <c r="H159" s="21" t="str">
        <f>CONCATENATE(Table1[[#This Row],[Order Code]],Table1[[#This Row],[NAME]])</f>
        <v>282NA</v>
      </c>
    </row>
    <row r="160" spans="1:8" ht="20">
      <c r="A160" s="23">
        <v>161</v>
      </c>
      <c r="B160" s="21" t="s">
        <v>22</v>
      </c>
      <c r="C160" s="21">
        <v>292</v>
      </c>
      <c r="D160" s="21" t="s">
        <v>142</v>
      </c>
      <c r="E160" s="21">
        <v>6</v>
      </c>
      <c r="F160" s="24">
        <v>43805</v>
      </c>
      <c r="G160" s="21">
        <v>1</v>
      </c>
      <c r="H160" s="21" t="str">
        <f>CONCATENATE(Table1[[#This Row],[Order Code]],Table1[[#This Row],[NAME]])</f>
        <v>292エクシート様　グレー</v>
      </c>
    </row>
    <row r="161" spans="1:8" ht="20">
      <c r="A161" s="23">
        <v>162</v>
      </c>
      <c r="B161" s="21" t="s">
        <v>22</v>
      </c>
      <c r="C161" s="21">
        <v>292</v>
      </c>
      <c r="D161" s="21" t="s">
        <v>143</v>
      </c>
      <c r="E161" s="21">
        <v>6</v>
      </c>
      <c r="F161" s="24">
        <v>43503</v>
      </c>
      <c r="G161" s="21"/>
      <c r="H161" s="21" t="str">
        <f>CONCATENATE(Table1[[#This Row],[Order Code]],Table1[[#This Row],[NAME]])</f>
        <v>292D-185 紺(コート）</v>
      </c>
    </row>
    <row r="162" spans="1:8" ht="20">
      <c r="A162" s="23">
        <v>163</v>
      </c>
      <c r="B162" s="21" t="s">
        <v>22</v>
      </c>
      <c r="C162" s="21">
        <v>2102</v>
      </c>
      <c r="D162" s="21" t="s">
        <v>144</v>
      </c>
      <c r="E162" s="21">
        <v>9</v>
      </c>
      <c r="F162" s="24">
        <v>43534</v>
      </c>
      <c r="G162" s="21"/>
      <c r="H162" s="21" t="str">
        <f>CONCATENATE(Table1[[#This Row],[Order Code]],Table1[[#This Row],[NAME]])</f>
        <v>2102カイトコイン　黄</v>
      </c>
    </row>
    <row r="163" spans="1:8" ht="20">
      <c r="A163" s="23">
        <v>164</v>
      </c>
      <c r="B163" s="21" t="s">
        <v>22</v>
      </c>
      <c r="C163" s="21">
        <v>2102</v>
      </c>
      <c r="D163" s="21" t="s">
        <v>145</v>
      </c>
      <c r="E163" s="21">
        <v>9</v>
      </c>
      <c r="F163" s="24">
        <v>43534</v>
      </c>
      <c r="G163" s="21"/>
      <c r="H163" s="21" t="str">
        <f>CONCATENATE(Table1[[#This Row],[Order Code]],Table1[[#This Row],[NAME]])</f>
        <v>2102カイトコイン　青</v>
      </c>
    </row>
    <row r="164" spans="1:8" ht="20">
      <c r="A164" s="23">
        <v>166</v>
      </c>
      <c r="B164" s="21" t="s">
        <v>22</v>
      </c>
      <c r="C164" s="21">
        <v>113</v>
      </c>
      <c r="D164" s="21" t="s">
        <v>146</v>
      </c>
      <c r="E164" s="21">
        <v>8</v>
      </c>
      <c r="F164" s="24">
        <v>43629</v>
      </c>
      <c r="G164" s="21">
        <v>1</v>
      </c>
      <c r="H164" s="21" t="str">
        <f>CONCATENATE(Table1[[#This Row],[Order Code]],Table1[[#This Row],[NAME]])</f>
        <v>113ユタカ500230 緑</v>
      </c>
    </row>
    <row r="165" spans="1:8" ht="20">
      <c r="A165" s="23">
        <v>167</v>
      </c>
      <c r="B165" s="21" t="s">
        <v>22</v>
      </c>
      <c r="C165" s="21">
        <v>113</v>
      </c>
      <c r="D165" s="21" t="s">
        <v>147</v>
      </c>
      <c r="E165" s="21">
        <v>8</v>
      </c>
      <c r="F165" s="24">
        <v>43628</v>
      </c>
      <c r="G165" s="21">
        <v>1</v>
      </c>
      <c r="H165" s="21" t="str">
        <f>CONCATENATE(Table1[[#This Row],[Order Code]],Table1[[#This Row],[NAME]])</f>
        <v>113ユタカ500228 緑</v>
      </c>
    </row>
    <row r="166" spans="1:8" ht="20">
      <c r="A166" s="23">
        <v>168</v>
      </c>
      <c r="B166" s="21" t="s">
        <v>22</v>
      </c>
      <c r="C166" s="21">
        <v>113</v>
      </c>
      <c r="D166" s="21" t="s">
        <v>236</v>
      </c>
      <c r="E166" s="21">
        <v>8</v>
      </c>
      <c r="F166" s="24">
        <v>43861</v>
      </c>
      <c r="G166" s="21">
        <v>1</v>
      </c>
      <c r="H166" s="21" t="str">
        <f>CONCATENATE(Table1[[#This Row],[Order Code]],Table1[[#This Row],[NAME]])</f>
        <v>113ユタカ花粉ホコリ　緑</v>
      </c>
    </row>
    <row r="167" spans="1:8" ht="20">
      <c r="A167" s="23">
        <v>169</v>
      </c>
      <c r="B167" s="21" t="s">
        <v>22</v>
      </c>
      <c r="C167" s="21">
        <v>173</v>
      </c>
      <c r="D167" s="21" t="s">
        <v>149</v>
      </c>
      <c r="E167" s="21">
        <v>8</v>
      </c>
      <c r="F167" s="24">
        <v>43719</v>
      </c>
      <c r="G167" s="21"/>
      <c r="H167" s="21" t="str">
        <f>CONCATENATE(Table1[[#This Row],[Order Code]],Table1[[#This Row],[NAME]])</f>
        <v>173日華　グリン</v>
      </c>
    </row>
    <row r="168" spans="1:8" ht="20">
      <c r="A168" s="23">
        <v>170</v>
      </c>
      <c r="B168" s="21" t="s">
        <v>22</v>
      </c>
      <c r="C168" s="21">
        <v>123</v>
      </c>
      <c r="D168" s="21" t="s">
        <v>150</v>
      </c>
      <c r="E168" s="21">
        <v>8</v>
      </c>
      <c r="F168" s="24">
        <v>43578</v>
      </c>
      <c r="G168" s="21">
        <v>1</v>
      </c>
      <c r="H168" s="21" t="str">
        <f>CONCATENATE(Table1[[#This Row],[Order Code]],Table1[[#This Row],[NAME]])</f>
        <v>123MUN760S 緑</v>
      </c>
    </row>
    <row r="169" spans="1:8" ht="20">
      <c r="A169" s="23">
        <v>171</v>
      </c>
      <c r="B169" s="21" t="s">
        <v>22</v>
      </c>
      <c r="C169" s="21">
        <v>123</v>
      </c>
      <c r="D169" s="21" t="s">
        <v>189</v>
      </c>
      <c r="E169" s="21">
        <v>6</v>
      </c>
      <c r="F169" s="24">
        <v>43697</v>
      </c>
      <c r="G169" s="21">
        <v>1</v>
      </c>
      <c r="H169" s="21" t="str">
        <f>CONCATENATE(Table1[[#This Row],[Order Code]],Table1[[#This Row],[NAME]])</f>
        <v>123UVカット　緑　500238</v>
      </c>
    </row>
    <row r="170" spans="1:8" ht="20">
      <c r="A170" s="23">
        <v>172</v>
      </c>
      <c r="B170" s="21" t="s">
        <v>22</v>
      </c>
      <c r="C170" s="21">
        <v>123</v>
      </c>
      <c r="D170" s="21" t="s">
        <v>189</v>
      </c>
      <c r="E170" s="21">
        <v>6</v>
      </c>
      <c r="F170" s="24">
        <v>43669</v>
      </c>
      <c r="G170" s="21">
        <v>1</v>
      </c>
      <c r="H170" s="21" t="str">
        <f>CONCATENATE(Table1[[#This Row],[Order Code]],Table1[[#This Row],[NAME]])</f>
        <v>123UVカット　緑　500238</v>
      </c>
    </row>
    <row r="171" spans="1:8" ht="20">
      <c r="A171" s="23">
        <v>173</v>
      </c>
      <c r="B171" s="21" t="s">
        <v>22</v>
      </c>
      <c r="C171" s="21">
        <v>113</v>
      </c>
      <c r="D171" s="21" t="s">
        <v>149</v>
      </c>
      <c r="E171" s="21">
        <v>8</v>
      </c>
      <c r="F171" s="24">
        <v>43774</v>
      </c>
      <c r="G171" s="21"/>
      <c r="H171" s="21" t="str">
        <f>CONCATENATE(Table1[[#This Row],[Order Code]],Table1[[#This Row],[NAME]])</f>
        <v>113日華　グリン</v>
      </c>
    </row>
    <row r="172" spans="1:8" ht="20">
      <c r="A172" s="23">
        <v>174</v>
      </c>
      <c r="B172" s="21" t="s">
        <v>22</v>
      </c>
      <c r="C172" s="21">
        <v>143</v>
      </c>
      <c r="D172" s="21" t="s">
        <v>151</v>
      </c>
      <c r="E172" s="21">
        <v>8</v>
      </c>
      <c r="F172" s="24">
        <v>43886</v>
      </c>
      <c r="G172" s="21">
        <v>1</v>
      </c>
      <c r="H172" s="21" t="str">
        <f>CONCATENATE(Table1[[#This Row],[Order Code]],Table1[[#This Row],[NAME]])</f>
        <v>143中性酵素SDNUーN4 緑</v>
      </c>
    </row>
    <row r="173" spans="1:8" ht="20">
      <c r="A173" s="23">
        <v>175</v>
      </c>
      <c r="B173" s="21" t="s">
        <v>22</v>
      </c>
      <c r="C173" s="21">
        <v>133</v>
      </c>
      <c r="D173" s="21" t="s">
        <v>152</v>
      </c>
      <c r="E173" s="21">
        <v>8</v>
      </c>
      <c r="F173" s="24">
        <v>43637</v>
      </c>
      <c r="G173" s="21"/>
      <c r="H173" s="21" t="str">
        <f>CONCATENATE(Table1[[#This Row],[Order Code]],Table1[[#This Row],[NAME]])</f>
        <v>133ワイドスキップS 緑</v>
      </c>
    </row>
    <row r="174" spans="1:8" ht="20">
      <c r="A174" s="23">
        <v>176</v>
      </c>
      <c r="B174" s="21" t="s">
        <v>22</v>
      </c>
      <c r="C174" s="21">
        <v>133</v>
      </c>
      <c r="D174" s="21" t="s">
        <v>153</v>
      </c>
      <c r="E174" s="21">
        <v>5</v>
      </c>
      <c r="F174" s="24">
        <v>43573</v>
      </c>
      <c r="G174" s="21">
        <v>1</v>
      </c>
      <c r="H174" s="21" t="str">
        <f>CONCATENATE(Table1[[#This Row],[Order Code]],Table1[[#This Row],[NAME]])</f>
        <v>133リポブライト　緑</v>
      </c>
    </row>
    <row r="175" spans="1:8" ht="20">
      <c r="A175" s="23">
        <v>177</v>
      </c>
      <c r="B175" s="21" t="s">
        <v>22</v>
      </c>
      <c r="C175" s="21">
        <v>133</v>
      </c>
      <c r="D175" s="21" t="s">
        <v>154</v>
      </c>
      <c r="E175" s="21">
        <v>8</v>
      </c>
      <c r="F175" s="24">
        <v>43668</v>
      </c>
      <c r="G175" s="21">
        <v>1</v>
      </c>
      <c r="H175" s="21" t="str">
        <f>CONCATENATE(Table1[[#This Row],[Order Code]],Table1[[#This Row],[NAME]])</f>
        <v>133エコティスパウダー　緑</v>
      </c>
    </row>
    <row r="176" spans="1:8" ht="20">
      <c r="A176" s="23">
        <v>178</v>
      </c>
      <c r="B176" s="21" t="s">
        <v>22</v>
      </c>
      <c r="C176" s="21">
        <v>133</v>
      </c>
      <c r="D176" s="21" t="s">
        <v>155</v>
      </c>
      <c r="E176" s="21">
        <v>6</v>
      </c>
      <c r="F176" s="24">
        <v>43605</v>
      </c>
      <c r="G176" s="21">
        <v>1</v>
      </c>
      <c r="H176" s="21" t="str">
        <f>CONCATENATE(Table1[[#This Row],[Order Code]],Table1[[#This Row],[NAME]])</f>
        <v>133エストラフGT33 緑</v>
      </c>
    </row>
    <row r="177" spans="1:8" ht="20">
      <c r="A177" s="23">
        <v>179</v>
      </c>
      <c r="B177" s="21" t="s">
        <v>22</v>
      </c>
      <c r="C177" s="21">
        <v>143</v>
      </c>
      <c r="D177" s="21" t="s">
        <v>156</v>
      </c>
      <c r="E177" s="21">
        <v>5</v>
      </c>
      <c r="F177" s="24">
        <v>43825</v>
      </c>
      <c r="G177" s="21">
        <v>1</v>
      </c>
      <c r="H177" s="21" t="str">
        <f>CONCATENATE(Table1[[#This Row],[Order Code]],Table1[[#This Row],[NAME]])</f>
        <v>143テクノソフターN 緑</v>
      </c>
    </row>
    <row r="178" spans="1:8" ht="20">
      <c r="A178" s="23">
        <v>180</v>
      </c>
      <c r="B178" s="21" t="s">
        <v>22</v>
      </c>
      <c r="C178" s="21">
        <v>143</v>
      </c>
      <c r="D178" s="21" t="s">
        <v>157</v>
      </c>
      <c r="E178" s="21">
        <v>8</v>
      </c>
      <c r="F178" s="24">
        <v>43796</v>
      </c>
      <c r="G178" s="21">
        <v>1</v>
      </c>
      <c r="H178" s="21" t="str">
        <f>CONCATENATE(Table1[[#This Row],[Order Code]],Table1[[#This Row],[NAME]])</f>
        <v>143P-369 C 緑</v>
      </c>
    </row>
    <row r="179" spans="1:8" ht="20">
      <c r="A179" s="23">
        <v>181</v>
      </c>
      <c r="B179" s="21" t="s">
        <v>22</v>
      </c>
      <c r="C179" s="21">
        <v>123</v>
      </c>
      <c r="D179" s="21" t="s">
        <v>158</v>
      </c>
      <c r="E179" s="21">
        <v>8</v>
      </c>
      <c r="F179" s="24">
        <v>43850</v>
      </c>
      <c r="G179" s="21">
        <v>1</v>
      </c>
      <c r="H179" s="21" t="str">
        <f>CONCATENATE(Table1[[#This Row],[Order Code]],Table1[[#This Row],[NAME]])</f>
        <v>123エコスマイル SJ(10K) 緑</v>
      </c>
    </row>
    <row r="180" spans="1:8" ht="20">
      <c r="A180" s="23">
        <v>182</v>
      </c>
      <c r="B180" s="21" t="s">
        <v>22</v>
      </c>
      <c r="C180" s="21">
        <v>183</v>
      </c>
      <c r="D180" s="21" t="s">
        <v>159</v>
      </c>
      <c r="E180" s="21">
        <v>8</v>
      </c>
      <c r="F180" s="24">
        <v>43668</v>
      </c>
      <c r="G180" s="21">
        <v>1</v>
      </c>
      <c r="H180" s="21" t="str">
        <f>CONCATENATE(Table1[[#This Row],[Order Code]],Table1[[#This Row],[NAME]])</f>
        <v>183エコティスパウダー 黄緑</v>
      </c>
    </row>
    <row r="181" spans="1:8" ht="20">
      <c r="A181" s="23">
        <v>183</v>
      </c>
      <c r="B181" s="21" t="s">
        <v>22</v>
      </c>
      <c r="C181" s="21">
        <v>163</v>
      </c>
      <c r="D181" s="21" t="s">
        <v>160</v>
      </c>
      <c r="E181" s="21">
        <v>6</v>
      </c>
      <c r="F181" s="24">
        <v>43577</v>
      </c>
      <c r="G181" s="21"/>
      <c r="H181" s="21" t="str">
        <f>CONCATENATE(Table1[[#This Row],[Order Code]],Table1[[#This Row],[NAME]])</f>
        <v>163カイトコイン　緑</v>
      </c>
    </row>
    <row r="182" spans="1:8" ht="20">
      <c r="A182" s="23">
        <v>184</v>
      </c>
      <c r="B182" s="21" t="s">
        <v>22</v>
      </c>
      <c r="C182" s="21">
        <v>163</v>
      </c>
      <c r="D182" s="21" t="s">
        <v>161</v>
      </c>
      <c r="E182" s="21">
        <v>6</v>
      </c>
      <c r="F182" s="24">
        <v>43805</v>
      </c>
      <c r="G182" s="21">
        <v>1</v>
      </c>
      <c r="H182" s="21" t="str">
        <f>CONCATENATE(Table1[[#This Row],[Order Code]],Table1[[#This Row],[NAME]])</f>
        <v>163ネオアージュ　緑</v>
      </c>
    </row>
    <row r="183" spans="1:8" ht="20">
      <c r="A183" s="23">
        <v>185</v>
      </c>
      <c r="B183" s="21" t="s">
        <v>22</v>
      </c>
      <c r="C183" s="21">
        <v>143</v>
      </c>
      <c r="D183" s="21" t="s">
        <v>162</v>
      </c>
      <c r="E183" s="21">
        <v>5</v>
      </c>
      <c r="F183" s="24">
        <v>43732</v>
      </c>
      <c r="G183" s="21"/>
      <c r="H183" s="21" t="str">
        <f>CONCATENATE(Table1[[#This Row],[Order Code]],Table1[[#This Row],[NAME]])</f>
        <v>143ルピランソープ 緑</v>
      </c>
    </row>
    <row r="184" spans="1:8" ht="20">
      <c r="A184" s="23">
        <v>186</v>
      </c>
      <c r="B184" s="21" t="s">
        <v>51</v>
      </c>
      <c r="C184" s="21">
        <v>173</v>
      </c>
      <c r="D184" s="21" t="s">
        <v>163</v>
      </c>
      <c r="E184" s="21">
        <v>6</v>
      </c>
      <c r="F184" s="24">
        <v>42740</v>
      </c>
      <c r="G184" s="21"/>
      <c r="H184" s="21" t="str">
        <f>CONCATENATE(Table1[[#This Row],[Order Code]],Table1[[#This Row],[NAME]])</f>
        <v>173耐減感11 濃緑</v>
      </c>
    </row>
    <row r="185" spans="1:8" ht="20">
      <c r="A185" s="23">
        <v>187</v>
      </c>
      <c r="B185" s="21" t="s">
        <v>51</v>
      </c>
      <c r="C185" s="21">
        <v>173</v>
      </c>
      <c r="D185" s="21" t="s">
        <v>163</v>
      </c>
      <c r="E185" s="21">
        <v>1</v>
      </c>
      <c r="F185" s="24">
        <v>42465</v>
      </c>
      <c r="G185" s="21"/>
      <c r="H185" s="21" t="str">
        <f>CONCATENATE(Table1[[#This Row],[Order Code]],Table1[[#This Row],[NAME]])</f>
        <v>173耐減感11 濃緑</v>
      </c>
    </row>
    <row r="186" spans="1:8" ht="20">
      <c r="A186" s="23">
        <v>188</v>
      </c>
      <c r="B186" s="21" t="s">
        <v>22</v>
      </c>
      <c r="C186" s="21">
        <v>163</v>
      </c>
      <c r="D186" s="21" t="s">
        <v>164</v>
      </c>
      <c r="E186" s="21">
        <v>7</v>
      </c>
      <c r="F186" s="24">
        <v>43732</v>
      </c>
      <c r="G186" s="21">
        <v>1</v>
      </c>
      <c r="H186" s="21" t="str">
        <f>CONCATENATE(Table1[[#This Row],[Order Code]],Table1[[#This Row],[NAME]])</f>
        <v>163エルモアEL88 緑</v>
      </c>
    </row>
    <row r="187" spans="1:8" ht="20">
      <c r="A187" s="23">
        <v>189</v>
      </c>
      <c r="B187" s="21" t="s">
        <v>22</v>
      </c>
      <c r="C187" s="21">
        <v>183</v>
      </c>
      <c r="D187" s="21" t="s">
        <v>165</v>
      </c>
      <c r="E187" s="21">
        <v>8</v>
      </c>
      <c r="F187" s="24">
        <v>44173</v>
      </c>
      <c r="G187" s="21">
        <v>1</v>
      </c>
      <c r="H187" s="21" t="str">
        <f>CONCATENATE(Table1[[#This Row],[Order Code]],Table1[[#This Row],[NAME]])</f>
        <v>183安田蒲鉾　黄緑</v>
      </c>
    </row>
    <row r="188" spans="1:8" ht="20">
      <c r="A188" s="23">
        <v>190</v>
      </c>
      <c r="B188" s="21" t="s">
        <v>22</v>
      </c>
      <c r="C188" s="21">
        <v>193</v>
      </c>
      <c r="D188" s="21" t="s">
        <v>166</v>
      </c>
      <c r="E188" s="21">
        <v>6</v>
      </c>
      <c r="F188" s="24">
        <v>43775</v>
      </c>
      <c r="G188" s="21">
        <v>1</v>
      </c>
      <c r="H188" s="21" t="str">
        <f>CONCATENATE(Table1[[#This Row],[Order Code]],Table1[[#This Row],[NAME]])</f>
        <v>193エコスマイルDX 紫</v>
      </c>
    </row>
    <row r="189" spans="1:8" ht="20">
      <c r="A189" s="23">
        <v>191</v>
      </c>
      <c r="B189" s="21" t="s">
        <v>22</v>
      </c>
      <c r="C189" s="21">
        <v>193</v>
      </c>
      <c r="D189" s="21" t="s">
        <v>166</v>
      </c>
      <c r="E189" s="21">
        <v>6</v>
      </c>
      <c r="F189" s="24">
        <v>43590</v>
      </c>
      <c r="G189" s="21">
        <v>1</v>
      </c>
      <c r="H189" s="21" t="str">
        <f>CONCATENATE(Table1[[#This Row],[Order Code]],Table1[[#This Row],[NAME]])</f>
        <v>193エコスマイルDX 紫</v>
      </c>
    </row>
    <row r="190" spans="1:8" ht="20">
      <c r="A190" s="23">
        <v>192</v>
      </c>
      <c r="B190" s="21" t="s">
        <v>22</v>
      </c>
      <c r="C190" s="21">
        <v>193</v>
      </c>
      <c r="D190" s="21" t="s">
        <v>167</v>
      </c>
      <c r="E190" s="21">
        <v>7</v>
      </c>
      <c r="F190" s="24">
        <v>43899</v>
      </c>
      <c r="G190" s="21">
        <v>1</v>
      </c>
      <c r="H190" s="21" t="str">
        <f>CONCATENATE(Table1[[#This Row],[Order Code]],Table1[[#This Row],[NAME]])</f>
        <v>193ユタカ　赤紫</v>
      </c>
    </row>
    <row r="191" spans="1:8" ht="20">
      <c r="A191" s="23">
        <v>193</v>
      </c>
      <c r="B191" s="21" t="s">
        <v>22</v>
      </c>
      <c r="C191" s="21">
        <v>183</v>
      </c>
      <c r="D191" s="21" t="s">
        <v>240</v>
      </c>
      <c r="E191" s="21">
        <v>9</v>
      </c>
      <c r="F191" s="24">
        <v>43916</v>
      </c>
      <c r="G191" s="21">
        <v>1</v>
      </c>
      <c r="H191" s="21" t="str">
        <f>CONCATENATE(Table1[[#This Row],[Order Code]],Table1[[#This Row],[NAME]])</f>
        <v>183オーリス64 紫</v>
      </c>
    </row>
    <row r="192" spans="1:8" ht="20">
      <c r="A192" s="23">
        <v>194</v>
      </c>
      <c r="B192" s="21" t="s">
        <v>22</v>
      </c>
      <c r="C192" s="21">
        <v>183</v>
      </c>
      <c r="D192" s="21" t="s">
        <v>169</v>
      </c>
      <c r="E192" s="21">
        <v>8</v>
      </c>
      <c r="F192" s="24">
        <v>43010</v>
      </c>
      <c r="G192" s="21"/>
      <c r="H192" s="21" t="str">
        <f>CONCATENATE(Table1[[#This Row],[Order Code]],Table1[[#This Row],[NAME]])</f>
        <v>183D106 紫</v>
      </c>
    </row>
    <row r="193" spans="1:8" ht="20">
      <c r="A193" s="23">
        <v>195</v>
      </c>
      <c r="B193" s="21" t="s">
        <v>22</v>
      </c>
      <c r="C193" s="21">
        <v>282</v>
      </c>
      <c r="D193" s="21" t="s">
        <v>170</v>
      </c>
      <c r="E193" s="21">
        <v>8</v>
      </c>
      <c r="F193" s="24">
        <v>43770</v>
      </c>
      <c r="G193" s="21">
        <v>1</v>
      </c>
      <c r="H193" s="21" t="str">
        <f>CONCATENATE(Table1[[#This Row],[Order Code]],Table1[[#This Row],[NAME]])</f>
        <v>282テクノウォッシュ　N18 肌色</v>
      </c>
    </row>
    <row r="194" spans="1:8" ht="20">
      <c r="A194" s="21">
        <v>196</v>
      </c>
      <c r="B194" s="21" t="s">
        <v>22</v>
      </c>
      <c r="C194" s="21">
        <v>1103</v>
      </c>
      <c r="D194" s="21" t="s">
        <v>170</v>
      </c>
      <c r="E194" s="21">
        <v>9</v>
      </c>
      <c r="F194" s="24">
        <v>43651</v>
      </c>
      <c r="G194" s="21">
        <v>1</v>
      </c>
      <c r="H194" s="21" t="str">
        <f>CONCATENATE(Table1[[#This Row],[Order Code]],Table1[[#This Row],[NAME]])</f>
        <v>1103テクノウォッシュ　N18 肌色</v>
      </c>
    </row>
    <row r="195" spans="1:8" ht="20">
      <c r="A195" s="21">
        <v>197</v>
      </c>
      <c r="B195" s="21" t="s">
        <v>22</v>
      </c>
      <c r="C195" s="21">
        <v>381</v>
      </c>
      <c r="D195" s="21" t="s">
        <v>193</v>
      </c>
      <c r="E195" s="21">
        <v>9</v>
      </c>
      <c r="F195" s="24">
        <v>44033</v>
      </c>
      <c r="G195" s="21">
        <v>1</v>
      </c>
      <c r="H195" s="21" t="str">
        <f>CONCATENATE(Table1[[#This Row],[Order Code]],Table1[[#This Row],[NAME]])</f>
        <v>381重要用紙　失赤</v>
      </c>
    </row>
    <row r="196" spans="1:8" ht="20">
      <c r="A196" s="26">
        <v>198</v>
      </c>
      <c r="B196" s="27" t="s">
        <v>22</v>
      </c>
      <c r="C196" s="27">
        <v>381</v>
      </c>
      <c r="D196" s="27" t="s">
        <v>204</v>
      </c>
      <c r="E196" s="27">
        <v>9</v>
      </c>
      <c r="F196" s="22">
        <v>43916</v>
      </c>
      <c r="G196" s="27"/>
      <c r="H196" s="21" t="str">
        <f>CONCATENATE(Table1[[#This Row],[Order Code]],Table1[[#This Row],[NAME]])</f>
        <v>381店頭用シール　金　赤口</v>
      </c>
    </row>
    <row r="197" spans="1:8" ht="20">
      <c r="A197" s="26">
        <v>199</v>
      </c>
      <c r="B197" s="27" t="s">
        <v>22</v>
      </c>
      <c r="C197" s="27">
        <v>351</v>
      </c>
      <c r="D197" s="27" t="s">
        <v>205</v>
      </c>
      <c r="E197" s="27">
        <v>9</v>
      </c>
      <c r="F197" s="22">
        <v>44007</v>
      </c>
      <c r="G197" s="27"/>
      <c r="H197" s="21" t="str">
        <f>CONCATENATE(Table1[[#This Row],[Order Code]],Table1[[#This Row],[NAME]])</f>
        <v>351MC1000(5L) ピンク</v>
      </c>
    </row>
    <row r="198" spans="1:8" ht="20">
      <c r="A198" s="26"/>
      <c r="B198" s="27" t="s">
        <v>22</v>
      </c>
      <c r="C198" s="27">
        <v>291</v>
      </c>
      <c r="D198" s="27" t="s">
        <v>206</v>
      </c>
      <c r="E198" s="27">
        <v>9</v>
      </c>
      <c r="F198" s="22">
        <v>43997</v>
      </c>
      <c r="G198" s="27"/>
      <c r="H198" s="28" t="str">
        <f>CONCATENATE(Table1[[#This Row],[Order Code]],Table1[[#This Row],[NAME]])</f>
        <v>291CLEANTOP 水色</v>
      </c>
    </row>
    <row r="199" spans="1:8" ht="20">
      <c r="A199" s="26"/>
      <c r="B199" s="27" t="s">
        <v>22</v>
      </c>
      <c r="C199" s="27">
        <v>281</v>
      </c>
      <c r="D199" s="27" t="s">
        <v>207</v>
      </c>
      <c r="E199" s="27">
        <v>9</v>
      </c>
      <c r="F199" s="22">
        <v>43973</v>
      </c>
      <c r="G199" s="27"/>
      <c r="H199" s="28" t="str">
        <f>CONCATENATE(Table1[[#This Row],[Order Code]],Table1[[#This Row],[NAME]])</f>
        <v>281アルカチャレンジ　青</v>
      </c>
    </row>
    <row r="200" spans="1:8" ht="20">
      <c r="A200" s="26"/>
      <c r="B200" s="27" t="s">
        <v>22</v>
      </c>
      <c r="C200" s="27">
        <v>201</v>
      </c>
      <c r="D200" s="27" t="s">
        <v>237</v>
      </c>
      <c r="E200" s="27">
        <v>9</v>
      </c>
      <c r="F200" s="22">
        <v>43861</v>
      </c>
      <c r="G200" s="27"/>
      <c r="H200" s="28" t="str">
        <f>CONCATENATE(Table1[[#This Row],[Order Code]],Table1[[#This Row],[NAME]])</f>
        <v>201ユタカ花粉ホコリ　青</v>
      </c>
    </row>
    <row r="201" spans="1:8" ht="20">
      <c r="A201" s="26"/>
      <c r="B201" s="27" t="s">
        <v>215</v>
      </c>
      <c r="C201" s="27">
        <v>163</v>
      </c>
      <c r="D201" s="27" t="s">
        <v>238</v>
      </c>
      <c r="E201" s="27">
        <v>9</v>
      </c>
      <c r="F201" s="22">
        <v>43948</v>
      </c>
      <c r="G201" s="27"/>
      <c r="H201" s="28" t="str">
        <f>CONCATENATE(Table1[[#This Row],[Order Code]],Table1[[#This Row],[NAME]])</f>
        <v>163サンレックスKスカイ　緑</v>
      </c>
    </row>
    <row r="202" spans="1:8" ht="20">
      <c r="A202" s="26"/>
      <c r="B202" s="27" t="s">
        <v>22</v>
      </c>
      <c r="C202" s="27">
        <v>173</v>
      </c>
      <c r="D202" s="27" t="s">
        <v>239</v>
      </c>
      <c r="E202" s="27">
        <v>9</v>
      </c>
      <c r="F202" s="22">
        <v>44020</v>
      </c>
      <c r="G202" s="27"/>
      <c r="H202" s="28" t="str">
        <f>CONCATENATE(Table1[[#This Row],[Order Code]],Table1[[#This Row],[NAME]])</f>
        <v>173オイル交換シール　緑</v>
      </c>
    </row>
    <row r="203" spans="1:8" ht="20">
      <c r="A203" s="26"/>
      <c r="B203" s="27" t="s">
        <v>22</v>
      </c>
      <c r="C203" s="27">
        <v>302</v>
      </c>
      <c r="D203" s="27" t="s">
        <v>241</v>
      </c>
      <c r="E203" s="27">
        <v>9</v>
      </c>
      <c r="F203" s="22">
        <v>44022</v>
      </c>
      <c r="G203" s="27"/>
      <c r="H203" s="28" t="str">
        <f>CONCATENATE(Table1[[#This Row],[Order Code]],Table1[[#This Row],[NAME]])</f>
        <v>302Dー162　オレンジ</v>
      </c>
    </row>
    <row r="204" spans="1:8" ht="20">
      <c r="A204" s="26"/>
      <c r="B204" s="27" t="s">
        <v>22</v>
      </c>
      <c r="C204" s="27">
        <v>323</v>
      </c>
      <c r="D204" s="27" t="s">
        <v>121</v>
      </c>
      <c r="E204" s="27">
        <v>9</v>
      </c>
      <c r="F204" s="22">
        <v>43578</v>
      </c>
      <c r="G204" s="27"/>
      <c r="H204" s="28" t="str">
        <f>CONCATENATE(Table1[[#This Row],[Order Code]],Table1[[#This Row],[NAME]])</f>
        <v>323酸素系NA05 黄</v>
      </c>
    </row>
    <row r="205" spans="1:8" ht="20">
      <c r="A205" s="26"/>
      <c r="B205" s="27" t="s">
        <v>22</v>
      </c>
      <c r="C205" s="27">
        <v>213</v>
      </c>
      <c r="D205" s="27" t="s">
        <v>242</v>
      </c>
      <c r="E205" s="27">
        <v>9</v>
      </c>
      <c r="F205" s="22">
        <v>44007</v>
      </c>
      <c r="G205" s="27"/>
      <c r="H205" s="28" t="str">
        <f>CONCATENATE(Table1[[#This Row],[Order Code]],Table1[[#This Row],[NAME]])</f>
        <v>213テクノクリア　５LX４</v>
      </c>
    </row>
    <row r="206" spans="1:8" ht="20">
      <c r="A206" s="26"/>
      <c r="B206" s="27" t="s">
        <v>22</v>
      </c>
      <c r="C206" s="27">
        <v>273</v>
      </c>
      <c r="D206" s="27" t="s">
        <v>244</v>
      </c>
      <c r="E206" s="27">
        <v>1</v>
      </c>
      <c r="F206" s="22">
        <v>42676</v>
      </c>
      <c r="G206" s="27"/>
      <c r="H206" s="28" t="str">
        <f>CONCATENATE(Table1[[#This Row],[Order Code]],Table1[[#This Row],[NAME]])</f>
        <v>273何々茶</v>
      </c>
    </row>
    <row r="207" spans="1:8" ht="20">
      <c r="A207" s="26"/>
      <c r="B207" s="27" t="s">
        <v>22</v>
      </c>
      <c r="C207" s="27">
        <v>2103</v>
      </c>
      <c r="D207" s="27" t="s">
        <v>245</v>
      </c>
      <c r="E207" s="27">
        <v>9</v>
      </c>
      <c r="F207" s="22">
        <v>43917</v>
      </c>
      <c r="G207" s="27"/>
      <c r="H207" s="28" t="str">
        <f>CONCATENATE(Table1[[#This Row],[Order Code]],Table1[[#This Row],[NAME]])</f>
        <v>2103エコルセNB22 青</v>
      </c>
    </row>
    <row r="208" spans="1:8" ht="20">
      <c r="A208" s="26"/>
      <c r="B208" s="27" t="s">
        <v>22</v>
      </c>
      <c r="C208" s="27">
        <v>2103</v>
      </c>
      <c r="D208" s="27" t="s">
        <v>246</v>
      </c>
      <c r="E208" s="27">
        <v>9</v>
      </c>
      <c r="F208" s="22">
        <v>43917</v>
      </c>
      <c r="G208" s="27"/>
      <c r="H208" s="28" t="str">
        <f>CONCATENATE(Table1[[#This Row],[Order Code]],Table1[[#This Row],[NAME]])</f>
        <v>2103エコルセNB22 オレンジ</v>
      </c>
    </row>
    <row r="209" spans="1:8" ht="20">
      <c r="A209" s="26"/>
      <c r="B209" s="27" t="s">
        <v>22</v>
      </c>
      <c r="C209" s="27">
        <v>2103</v>
      </c>
      <c r="D209" s="27" t="s">
        <v>247</v>
      </c>
      <c r="E209" s="27">
        <v>9</v>
      </c>
      <c r="F209" s="22">
        <v>43917</v>
      </c>
      <c r="G209" s="27"/>
      <c r="H209" s="28" t="str">
        <f>CONCATENATE(Table1[[#This Row],[Order Code]],Table1[[#This Row],[NAME]])</f>
        <v>2103エコルセNB22 紺</v>
      </c>
    </row>
    <row r="210" spans="1:8" ht="20">
      <c r="A210" s="26"/>
      <c r="B210" s="27" t="s">
        <v>22</v>
      </c>
      <c r="C210" s="27">
        <v>353</v>
      </c>
      <c r="D210" s="27" t="s">
        <v>295</v>
      </c>
      <c r="E210" s="27">
        <v>9</v>
      </c>
      <c r="F210" s="22">
        <v>44064</v>
      </c>
      <c r="G210" s="27"/>
      <c r="H210" s="28" t="str">
        <f>CONCATENATE(Table1[[#This Row],[Order Code]],Table1[[#This Row],[NAME]])</f>
        <v>353インステゥルメントミルク　黄</v>
      </c>
    </row>
    <row r="211" spans="1:8" ht="20">
      <c r="A211" s="26"/>
      <c r="B211" s="27" t="s">
        <v>22</v>
      </c>
      <c r="C211" s="27">
        <v>102</v>
      </c>
      <c r="D211" s="27" t="s">
        <v>273</v>
      </c>
      <c r="E211" s="27">
        <v>9</v>
      </c>
      <c r="F211" s="22">
        <v>44078</v>
      </c>
      <c r="G211" s="27"/>
      <c r="H211" s="28" t="str">
        <f>CONCATENATE(Table1[[#This Row],[Order Code]],Table1[[#This Row],[NAME]])</f>
        <v>102D5-2557 緑</v>
      </c>
    </row>
    <row r="212" spans="1:8" ht="20">
      <c r="A212" s="26"/>
      <c r="B212" s="27" t="s">
        <v>22</v>
      </c>
      <c r="C212" s="27">
        <v>131</v>
      </c>
      <c r="D212" s="49" t="s">
        <v>282</v>
      </c>
      <c r="E212" s="27">
        <v>9</v>
      </c>
      <c r="F212" s="22">
        <v>44103</v>
      </c>
      <c r="G212" s="27"/>
      <c r="H212" s="28" t="str">
        <f>CONCATENATE(Table1[[#This Row],[Order Code]],Table1[[#This Row],[NAME]])</f>
        <v>131J 墨　S</v>
      </c>
    </row>
    <row r="213" spans="1:8" ht="20">
      <c r="A213" s="26"/>
      <c r="B213" s="27" t="s">
        <v>22</v>
      </c>
      <c r="C213" s="27">
        <v>131</v>
      </c>
      <c r="D213" s="27" t="s">
        <v>282</v>
      </c>
      <c r="E213" s="27">
        <v>10</v>
      </c>
      <c r="F213" s="22">
        <v>44103</v>
      </c>
      <c r="G213" s="27"/>
      <c r="H213" s="28" t="str">
        <f>CONCATENATE(Table1[[#This Row],[Order Code]],Table1[[#This Row],[NAME]])</f>
        <v>131J 墨　S</v>
      </c>
    </row>
    <row r="214" spans="1:8" ht="20">
      <c r="A214" s="26"/>
      <c r="B214" s="27" t="s">
        <v>22</v>
      </c>
      <c r="C214" s="27">
        <v>131</v>
      </c>
      <c r="D214" s="27" t="s">
        <v>282</v>
      </c>
      <c r="E214" s="27">
        <v>10</v>
      </c>
      <c r="F214" s="22">
        <v>44103</v>
      </c>
      <c r="G214" s="27"/>
      <c r="H214" s="28" t="str">
        <f>CONCATENATE(Table1[[#This Row],[Order Code]],Table1[[#This Row],[NAME]])</f>
        <v>131J 墨　S</v>
      </c>
    </row>
    <row r="215" spans="1:8" ht="20">
      <c r="A215" s="26"/>
      <c r="B215" s="27" t="s">
        <v>22</v>
      </c>
      <c r="C215" s="27">
        <v>193</v>
      </c>
      <c r="D215" s="27" t="s">
        <v>182</v>
      </c>
      <c r="E215" s="27">
        <v>9</v>
      </c>
      <c r="F215" s="22">
        <v>44123</v>
      </c>
      <c r="G215" s="27"/>
      <c r="H215" s="28" t="str">
        <f>CONCATENATE(Table1[[#This Row],[Order Code]],Table1[[#This Row],[NAME]])</f>
        <v>193D-224 紫</v>
      </c>
    </row>
    <row r="216" spans="1:8" ht="20">
      <c r="A216" s="26"/>
      <c r="B216" s="27" t="s">
        <v>215</v>
      </c>
      <c r="C216" s="27">
        <v>102</v>
      </c>
      <c r="D216" s="47" t="s">
        <v>298</v>
      </c>
      <c r="E216" s="27">
        <v>10</v>
      </c>
      <c r="F216" s="22">
        <v>44127</v>
      </c>
      <c r="G216" s="27"/>
      <c r="H216" s="28" t="str">
        <f>CONCATENATE(Table1[[#This Row],[Order Code]],Table1[[#This Row],[NAME]])</f>
        <v>102ユタカ　FG　草</v>
      </c>
    </row>
    <row r="217" spans="1:8" ht="20">
      <c r="A217" s="26"/>
      <c r="B217" s="27" t="s">
        <v>215</v>
      </c>
      <c r="C217" s="27">
        <v>223</v>
      </c>
      <c r="D217" s="27" t="s">
        <v>55</v>
      </c>
      <c r="E217" s="27">
        <v>10</v>
      </c>
      <c r="F217" s="22">
        <v>44176</v>
      </c>
      <c r="G217" s="27"/>
      <c r="H217" s="28" t="str">
        <f>CONCATENATE(Table1[[#This Row],[Order Code]],Table1[[#This Row],[NAME]])</f>
        <v>223D-181 青</v>
      </c>
    </row>
    <row r="218" spans="1:8" ht="20">
      <c r="A218" s="26"/>
      <c r="B218" s="27" t="s">
        <v>215</v>
      </c>
      <c r="C218" s="27">
        <v>223</v>
      </c>
      <c r="D218" s="27" t="s">
        <v>55</v>
      </c>
      <c r="E218" s="27">
        <v>10</v>
      </c>
      <c r="F218" s="22">
        <v>44176</v>
      </c>
      <c r="G218" s="27"/>
      <c r="H218" s="28" t="str">
        <f>CONCATENATE(Table1[[#This Row],[Order Code]],Table1[[#This Row],[NAME]])</f>
        <v>223D-181 青</v>
      </c>
    </row>
    <row r="219" spans="1:8" ht="20">
      <c r="A219" s="26"/>
      <c r="B219" s="27"/>
      <c r="C219" s="27"/>
      <c r="D219" s="27"/>
      <c r="E219" s="27"/>
      <c r="F219" s="22"/>
      <c r="G219" s="27"/>
      <c r="H219" s="28" t="str">
        <f>CONCATENATE(Table1[[#This Row],[Order Code]],Table1[[#This Row],[NAME]])</f>
        <v/>
      </c>
    </row>
    <row r="220" spans="1:8" ht="20">
      <c r="A220" s="26"/>
      <c r="B220" s="27"/>
      <c r="C220" s="27"/>
      <c r="D220" s="27"/>
      <c r="E220" s="27"/>
      <c r="F220" s="22"/>
      <c r="G220" s="27"/>
      <c r="H220" s="28" t="str">
        <f>CONCATENATE(Table1[[#This Row],[Order Code]],Table1[[#This Row],[NAME]])</f>
        <v/>
      </c>
    </row>
    <row r="221" spans="1:8" ht="20">
      <c r="A221" s="26"/>
      <c r="B221" s="27"/>
      <c r="C221" s="27"/>
      <c r="D221" s="27"/>
      <c r="E221" s="27"/>
      <c r="F221" s="22"/>
      <c r="G221" s="27"/>
      <c r="H221" s="28" t="str">
        <f>CONCATENATE(Table1[[#This Row],[Order Code]],Table1[[#This Row],[NAME]])</f>
        <v/>
      </c>
    </row>
    <row r="222" spans="1:8" ht="20">
      <c r="A222" s="26"/>
      <c r="B222" s="27"/>
      <c r="C222" s="27"/>
      <c r="D222" s="27"/>
      <c r="E222" s="27"/>
      <c r="F222" s="22"/>
      <c r="G222" s="27"/>
      <c r="H222" s="28" t="str">
        <f>CONCATENATE(Table1[[#This Row],[Order Code]],Table1[[#This Row],[NAME]])</f>
        <v/>
      </c>
    </row>
    <row r="223" spans="1:8" ht="20">
      <c r="A223" s="26"/>
      <c r="B223" s="27"/>
      <c r="C223" s="27"/>
      <c r="D223" s="27"/>
      <c r="E223" s="27"/>
      <c r="F223" s="22"/>
      <c r="G223" s="27"/>
      <c r="H223" s="28" t="str">
        <f>CONCATENATE(Table1[[#This Row],[Order Code]],Table1[[#This Row],[NAME]])</f>
        <v/>
      </c>
    </row>
    <row r="224" spans="1:8" ht="20">
      <c r="A224" s="26"/>
      <c r="B224" s="27"/>
      <c r="C224" s="27"/>
      <c r="D224" s="27"/>
      <c r="E224" s="27"/>
      <c r="F224" s="22"/>
      <c r="G224" s="27"/>
      <c r="H224" s="28" t="str">
        <f>CONCATENATE(Table1[[#This Row],[Order Code]],Table1[[#This Row],[NAME]])</f>
        <v/>
      </c>
    </row>
    <row r="225" spans="1:8" ht="20">
      <c r="A225" s="26"/>
      <c r="B225" s="27"/>
      <c r="C225" s="27"/>
      <c r="D225" s="27"/>
      <c r="E225" s="27"/>
      <c r="F225" s="22"/>
      <c r="G225" s="27"/>
      <c r="H225" s="28" t="str">
        <f>CONCATENATE(Table1[[#This Row],[Order Code]],Table1[[#This Row],[NAME]])</f>
        <v/>
      </c>
    </row>
    <row r="226" spans="1:8" ht="20">
      <c r="A226" s="26"/>
      <c r="B226" s="27"/>
      <c r="C226" s="27"/>
      <c r="D226" s="27"/>
      <c r="E226" s="27"/>
      <c r="F226" s="22"/>
      <c r="G226" s="27"/>
      <c r="H226" s="28" t="str">
        <f>CONCATENATE(Table1[[#This Row],[Order Code]],Table1[[#This Row],[NAME]])</f>
        <v/>
      </c>
    </row>
    <row r="227" spans="1:8" ht="20">
      <c r="A227" s="26"/>
      <c r="B227" s="27"/>
      <c r="C227" s="27"/>
      <c r="D227" s="27"/>
      <c r="E227" s="27"/>
      <c r="F227" s="22"/>
      <c r="G227" s="27"/>
      <c r="H227" s="28" t="str">
        <f>CONCATENATE(Table1[[#This Row],[Order Code]],Table1[[#This Row],[NAME]])</f>
        <v/>
      </c>
    </row>
    <row r="228" spans="1:8" ht="20">
      <c r="A228" s="26"/>
      <c r="B228" s="27"/>
      <c r="C228" s="27"/>
      <c r="D228" s="27"/>
      <c r="E228" s="27"/>
      <c r="F228" s="22"/>
      <c r="G228" s="27"/>
      <c r="H228" s="28" t="str">
        <f>CONCATENATE(Table1[[#This Row],[Order Code]],Table1[[#This Row],[NAME]])</f>
        <v/>
      </c>
    </row>
    <row r="229" spans="1:8" ht="20">
      <c r="A229" s="26"/>
      <c r="B229" s="27"/>
      <c r="C229" s="27"/>
      <c r="D229" s="27"/>
      <c r="E229" s="27"/>
      <c r="F229" s="22"/>
      <c r="G229" s="27"/>
      <c r="H229" s="28" t="str">
        <f>CONCATENATE(Table1[[#This Row],[Order Code]],Table1[[#This Row],[NAME]])</f>
        <v/>
      </c>
    </row>
    <row r="230" spans="1:8" ht="20">
      <c r="A230" s="26"/>
      <c r="B230" s="27"/>
      <c r="C230" s="27"/>
      <c r="D230" s="27"/>
      <c r="E230" s="27"/>
      <c r="F230" s="22"/>
      <c r="G230" s="27"/>
      <c r="H230" s="28" t="str">
        <f>CONCATENATE(Table1[[#This Row],[Order Code]],Table1[[#This Row],[NAME]])</f>
        <v/>
      </c>
    </row>
    <row r="231" spans="1:8" ht="20">
      <c r="A231" s="26"/>
      <c r="B231" s="27"/>
      <c r="C231" s="27"/>
      <c r="D231" s="27"/>
      <c r="E231" s="27"/>
      <c r="F231" s="22"/>
      <c r="G231" s="27"/>
      <c r="H231" s="28" t="str">
        <f>CONCATENATE(Table1[[#This Row],[Order Code]],Table1[[#This Row],[NAME]])</f>
        <v/>
      </c>
    </row>
    <row r="232" spans="1:8" ht="20">
      <c r="A232" s="26"/>
      <c r="B232" s="27"/>
      <c r="C232" s="27"/>
      <c r="D232" s="27"/>
      <c r="E232" s="27"/>
      <c r="F232" s="22"/>
      <c r="G232" s="27"/>
      <c r="H232" s="28" t="str">
        <f>CONCATENATE(Table1[[#This Row],[Order Code]],Table1[[#This Row],[NAME]])</f>
        <v/>
      </c>
    </row>
    <row r="233" spans="1:8" ht="20">
      <c r="A233" s="26"/>
      <c r="B233" s="27"/>
      <c r="C233" s="27"/>
      <c r="D233" s="27"/>
      <c r="E233" s="27"/>
      <c r="F233" s="22"/>
      <c r="G233" s="27"/>
      <c r="H233" s="28" t="str">
        <f>CONCATENATE(Table1[[#This Row],[Order Code]],Table1[[#This Row],[NAME]])</f>
        <v/>
      </c>
    </row>
    <row r="234" spans="1:8" ht="20">
      <c r="A234" s="26"/>
      <c r="B234" s="27"/>
      <c r="C234" s="27"/>
      <c r="D234" s="27"/>
      <c r="E234" s="27"/>
      <c r="F234" s="22"/>
      <c r="G234" s="27"/>
      <c r="H234" s="28" t="str">
        <f>CONCATENATE(Table1[[#This Row],[Order Code]],Table1[[#This Row],[NAME]])</f>
        <v/>
      </c>
    </row>
    <row r="235" spans="1:8" ht="20">
      <c r="A235" s="26"/>
      <c r="B235" s="27"/>
      <c r="C235" s="27"/>
      <c r="D235" s="27"/>
      <c r="E235" s="27"/>
      <c r="F235" s="22"/>
      <c r="G235" s="27"/>
      <c r="H235" s="28" t="str">
        <f>CONCATENATE(Table1[[#This Row],[Order Code]],Table1[[#This Row],[NAME]])</f>
        <v/>
      </c>
    </row>
    <row r="236" spans="1:8" ht="20">
      <c r="A236" s="26"/>
      <c r="B236" s="27"/>
      <c r="C236" s="27"/>
      <c r="D236" s="27"/>
      <c r="E236" s="27"/>
      <c r="F236" s="22"/>
      <c r="G236" s="27"/>
      <c r="H236" s="28" t="str">
        <f>CONCATENATE(Table1[[#This Row],[Order Code]],Table1[[#This Row],[NAME]])</f>
        <v/>
      </c>
    </row>
    <row r="237" spans="1:8" ht="20">
      <c r="A237" s="26"/>
      <c r="B237" s="27"/>
      <c r="C237" s="27"/>
      <c r="D237" s="27"/>
      <c r="E237" s="27"/>
      <c r="F237" s="22"/>
      <c r="G237" s="27"/>
      <c r="H237" s="28" t="str">
        <f>CONCATENATE(Table1[[#This Row],[Order Code]],Table1[[#This Row],[NAME]])</f>
        <v/>
      </c>
    </row>
    <row r="238" spans="1:8" ht="20">
      <c r="A238" s="26"/>
      <c r="B238" s="27"/>
      <c r="C238" s="27"/>
      <c r="D238" s="27"/>
      <c r="E238" s="27"/>
      <c r="F238" s="22"/>
      <c r="G238" s="27"/>
      <c r="H238" s="28" t="str">
        <f>CONCATENATE(Table1[[#This Row],[Order Code]],Table1[[#This Row],[NAME]])</f>
        <v/>
      </c>
    </row>
    <row r="239" spans="1:8" ht="20">
      <c r="A239" s="26"/>
      <c r="B239" s="27"/>
      <c r="C239" s="27"/>
      <c r="D239" s="27"/>
      <c r="E239" s="27"/>
      <c r="F239" s="22"/>
      <c r="G239" s="27"/>
      <c r="H239" s="28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51" t="s">
        <v>313</v>
      </c>
      <c r="B1" s="51" t="s">
        <v>314</v>
      </c>
      <c r="C1" s="51" t="s">
        <v>316</v>
      </c>
    </row>
    <row r="2" spans="1:3">
      <c r="A2" s="50">
        <v>44189</v>
      </c>
      <c r="B2" t="s">
        <v>315</v>
      </c>
      <c r="C2" t="s">
        <v>317</v>
      </c>
    </row>
    <row r="3" spans="1:3">
      <c r="A3" s="50">
        <v>44190</v>
      </c>
      <c r="B3" t="s">
        <v>315</v>
      </c>
      <c r="C3" t="s">
        <v>318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7"/>
  <sheetViews>
    <sheetView zoomScaleNormal="100" workbookViewId="0">
      <selection activeCell="B8" sqref="B8"/>
    </sheetView>
  </sheetViews>
  <sheetFormatPr baseColWidth="10" defaultColWidth="8.69921875" defaultRowHeight="22"/>
  <cols>
    <col min="1" max="1" width="10.8984375" style="37" bestFit="1" customWidth="1"/>
    <col min="2" max="2" width="53" style="36" customWidth="1"/>
    <col min="3" max="16384" width="8.69921875" style="34"/>
  </cols>
  <sheetData>
    <row r="1" spans="1:2" ht="26" thickBot="1">
      <c r="A1" s="60" t="s">
        <v>233</v>
      </c>
      <c r="B1" s="61"/>
    </row>
    <row r="2" spans="1:2" ht="23">
      <c r="A2" s="35">
        <v>44061</v>
      </c>
      <c r="B2" s="39" t="s">
        <v>232</v>
      </c>
    </row>
    <row r="3" spans="1:2" ht="23">
      <c r="A3" s="35">
        <v>44062</v>
      </c>
      <c r="B3" s="38" t="s">
        <v>249</v>
      </c>
    </row>
    <row r="4" spans="1:2" ht="23">
      <c r="A4" s="35">
        <v>44063</v>
      </c>
      <c r="B4" s="38" t="s">
        <v>234</v>
      </c>
    </row>
    <row r="5" spans="1:2" ht="23">
      <c r="A5" s="35">
        <v>44064</v>
      </c>
      <c r="B5" s="38" t="s">
        <v>266</v>
      </c>
    </row>
    <row r="6" spans="1:2" ht="23">
      <c r="B6" s="38" t="s">
        <v>271</v>
      </c>
    </row>
    <row r="7" spans="1:2" ht="46">
      <c r="A7" s="37" t="s">
        <v>312</v>
      </c>
      <c r="B7" s="36" t="s">
        <v>319</v>
      </c>
    </row>
  </sheetData>
  <mergeCells count="1">
    <mergeCell ref="A1:B1"/>
  </mergeCells>
  <phoneticPr fontId="15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2021-01-05T11:49:04Z</dcterms:modified>
</cp:coreProperties>
</file>