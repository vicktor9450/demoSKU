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E23FC787-AA19-BB47-AE25-9CD5A340DAE6}" xr6:coauthVersionLast="45" xr6:coauthVersionMax="45" xr10:uidLastSave="{00000000-0000-0000-0000-000000000000}"/>
  <bookViews>
    <workbookView xWindow="0" yWindow="500" windowWidth="25600" windowHeight="12760" xr2:uid="{00000000-000D-0000-FFFF-FFFF00000000}"/>
  </bookViews>
  <sheets>
    <sheet name="PaperSummary" sheetId="284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Paper!$A$5:$J$140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92" r:id="rId8"/>
  </pivotCaches>
</workbook>
</file>

<file path=xl/calcChain.xml><?xml version="1.0" encoding="utf-8"?>
<calcChain xmlns="http://schemas.openxmlformats.org/spreadsheetml/2006/main">
  <c r="B1" i="284" l="1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<sst xmlns="http://schemas.openxmlformats.org/spreadsheetml/2006/main" count="927" uniqueCount="320">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</sst>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9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9" fontId="0" fillId="0" borderId="0" xfId="0" applyNumberFormat="1" applyFont="1" applyAlignment="1"/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09.717550694448" createdVersion="3" refreshedVersion="6" minRefreshableVersion="3" recordCount="134" xr:uid="{7A33C162-6339-4448-AB28-C3B16FFB5129}">
  <cacheSource type="worksheet">
    <worksheetSource ref="A5:K139" sheet="Paper"/>
  </cacheSource>
  <cacheFields count="11">
    <cacheField name="Arrival" numFmtId="49">
      <sharedItems count="52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20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450"/>
        <n v="250"/>
        <n v="80"/>
        <n v="550"/>
        <n v="1000"/>
        <n v="560"/>
        <n v="20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150"/>
        <n v="500"/>
        <n v="350"/>
        <n v="52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6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7"/>
    <x v="5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3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6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7"/>
    <x v="5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7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3"/>
    <x v="4"/>
    <x v="0"/>
    <x v="10"/>
  </r>
  <r>
    <x v="51"/>
    <x v="0"/>
    <x v="6"/>
    <x v="1"/>
    <x v="0"/>
    <x v="0"/>
    <x v="0"/>
    <x v="1"/>
    <x v="1"/>
    <x v="0"/>
    <x v="10"/>
  </r>
  <r>
    <x v="51"/>
    <x v="0"/>
    <x v="7"/>
    <x v="1"/>
    <x v="0"/>
    <x v="0"/>
    <x v="0"/>
    <x v="18"/>
    <x v="20"/>
    <x v="0"/>
    <x v="8"/>
  </r>
  <r>
    <x v="51"/>
    <x v="0"/>
    <x v="8"/>
    <x v="1"/>
    <x v="0"/>
    <x v="0"/>
    <x v="0"/>
    <x v="1"/>
    <x v="1"/>
    <x v="0"/>
    <x v="12"/>
  </r>
  <r>
    <x v="51"/>
    <x v="0"/>
    <x v="7"/>
    <x v="1"/>
    <x v="0"/>
    <x v="0"/>
    <x v="0"/>
    <x v="1"/>
    <x v="1"/>
    <x v="0"/>
    <x v="8"/>
  </r>
  <r>
    <x v="51"/>
    <x v="2"/>
    <x v="10"/>
    <x v="1"/>
    <x v="0"/>
    <x v="0"/>
    <x v="0"/>
    <x v="19"/>
    <x v="11"/>
    <x v="0"/>
    <x v="35"/>
  </r>
  <r>
    <x v="51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7439E4-D38B-3B42-AB0B-C3A8788DC95D}" name="PaperPivotTable" cacheId="92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2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0">
        <item x="12"/>
        <item x="6"/>
        <item x="15"/>
        <item x="5"/>
        <item x="19"/>
        <item x="14"/>
        <item x="7"/>
        <item x="11"/>
        <item x="2"/>
        <item x="13"/>
        <item x="8"/>
        <item x="3"/>
        <item x="16"/>
        <item x="18"/>
        <item x="4"/>
        <item x="9"/>
        <item x="10"/>
        <item x="0"/>
        <item x="17"/>
        <item x="1"/>
      </items>
    </pivotField>
    <pivotField dataField="1" showAll="0" defaultSubtotal="0">
      <items count="21">
        <item x="0"/>
        <item x="12"/>
        <item x="7"/>
        <item x="6"/>
        <item x="20"/>
        <item x="19"/>
        <item x="10"/>
        <item x="13"/>
        <item x="4"/>
        <item x="9"/>
        <item x="8"/>
        <item x="15"/>
        <item x="3"/>
        <item x="14"/>
        <item x="5"/>
        <item x="17"/>
        <item x="11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6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40" headerRowDxfId="39" dataDxfId="38" totalsRowDxfId="37">
  <autoFilter ref="A5:K14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CDB55-CDF0-6C43-AB57-5FF9C7F0BB4A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1" sqref="B1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6">
        <f>LastSavedTimeStamp()</f>
        <v>44209.717662037037</v>
      </c>
    </row>
    <row r="2" spans="2:25">
      <c r="B2" s="7" t="s">
        <v>201</v>
      </c>
      <c r="C2" s="7" t="s">
        <v>197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</row>
    <row r="3" spans="2:25">
      <c r="B3" s="51"/>
      <c r="C3" s="50">
        <v>40</v>
      </c>
      <c r="D3" s="50">
        <v>90</v>
      </c>
      <c r="E3" s="50">
        <v>100</v>
      </c>
      <c r="F3" s="50">
        <v>115</v>
      </c>
      <c r="G3" s="50">
        <v>120</v>
      </c>
      <c r="H3" s="52">
        <v>125</v>
      </c>
      <c r="I3" s="53"/>
      <c r="J3" s="50">
        <v>130</v>
      </c>
      <c r="K3" s="50">
        <v>135</v>
      </c>
      <c r="L3" s="50">
        <v>140</v>
      </c>
      <c r="M3" s="50">
        <v>150</v>
      </c>
      <c r="N3" s="52">
        <v>155</v>
      </c>
      <c r="O3" s="53"/>
      <c r="P3" s="50">
        <v>160</v>
      </c>
      <c r="Q3" s="50">
        <v>165</v>
      </c>
      <c r="R3" s="50">
        <v>175</v>
      </c>
      <c r="S3" s="52">
        <v>185</v>
      </c>
      <c r="T3" s="53"/>
      <c r="U3" s="52">
        <v>205</v>
      </c>
      <c r="V3" s="53"/>
      <c r="W3" s="50">
        <v>210</v>
      </c>
      <c r="X3" s="50">
        <v>215</v>
      </c>
      <c r="Y3" s="50">
        <v>220</v>
      </c>
    </row>
    <row r="4" spans="2:25">
      <c r="B4" s="7" t="s">
        <v>0</v>
      </c>
      <c r="C4" s="50" t="s">
        <v>256</v>
      </c>
      <c r="D4" s="50" t="s">
        <v>256</v>
      </c>
      <c r="E4" s="50" t="s">
        <v>256</v>
      </c>
      <c r="F4" s="50" t="s">
        <v>256</v>
      </c>
      <c r="G4" s="50" t="s">
        <v>256</v>
      </c>
      <c r="H4" s="50" t="s">
        <v>264</v>
      </c>
      <c r="I4" s="50" t="s">
        <v>256</v>
      </c>
      <c r="J4" s="50" t="s">
        <v>256</v>
      </c>
      <c r="K4" s="50" t="s">
        <v>256</v>
      </c>
      <c r="L4" s="50" t="s">
        <v>256</v>
      </c>
      <c r="M4" s="50" t="s">
        <v>256</v>
      </c>
      <c r="N4" s="50" t="s">
        <v>264</v>
      </c>
      <c r="O4" s="50" t="s">
        <v>256</v>
      </c>
      <c r="P4" s="50" t="s">
        <v>256</v>
      </c>
      <c r="Q4" s="50" t="s">
        <v>256</v>
      </c>
      <c r="R4" s="50" t="s">
        <v>256</v>
      </c>
      <c r="S4" s="50" t="s">
        <v>264</v>
      </c>
      <c r="T4" s="50" t="s">
        <v>256</v>
      </c>
      <c r="U4" s="50" t="s">
        <v>264</v>
      </c>
      <c r="V4" s="50" t="s">
        <v>256</v>
      </c>
      <c r="W4" s="50" t="s">
        <v>256</v>
      </c>
      <c r="X4" s="50" t="s">
        <v>256</v>
      </c>
      <c r="Y4" s="50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900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700</v>
      </c>
      <c r="J17" s="6"/>
      <c r="K17" s="6"/>
      <c r="L17" s="6">
        <v>900</v>
      </c>
      <c r="M17" s="6"/>
      <c r="N17" s="6">
        <v>1200</v>
      </c>
      <c r="O17" s="6">
        <v>0</v>
      </c>
      <c r="P17" s="6"/>
      <c r="Q17" s="6">
        <v>1240</v>
      </c>
      <c r="R17" s="6"/>
      <c r="S17" s="6">
        <v>150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40"/>
  <sheetViews>
    <sheetView zoomScale="150" zoomScaleNormal="150" workbookViewId="0">
      <pane ySplit="5" topLeftCell="A6" activePane="bottomLeft" state="frozen"/>
      <selection pane="bottomLeft" activeCell="I2" sqref="I2:J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8"/>
      <c r="J2" s="58"/>
      <c r="M2" s="28"/>
      <c r="N2" s="28"/>
      <c r="O2" s="28"/>
      <c r="P2" s="28"/>
    </row>
    <row r="3" spans="1:19" ht="22">
      <c r="I3" s="57"/>
      <c r="J3" s="57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500</v>
      </c>
      <c r="I23" s="17">
        <f t="shared" si="1"/>
        <v>100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300</v>
      </c>
      <c r="I96" s="17">
        <f t="shared" si="12"/>
        <v>300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450</v>
      </c>
      <c r="I103" s="17">
        <f t="shared" si="14"/>
        <v>150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300</v>
      </c>
      <c r="I125" s="17">
        <f t="shared" si="20"/>
        <v>300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>
      <c r="A130" s="15" t="s">
        <v>306</v>
      </c>
      <c r="B130" s="16" t="s">
        <v>252</v>
      </c>
      <c r="C130" s="17">
        <v>155</v>
      </c>
      <c r="D130" s="17" t="s">
        <v>264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500</v>
      </c>
      <c r="I133" s="17">
        <f t="shared" si="22"/>
        <v>100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/>
      <c r="I134" s="17">
        <f t="shared" ref="I134:I140" si="24">G134-H134</f>
        <v>600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560</v>
      </c>
      <c r="I135" s="17">
        <f t="shared" si="24"/>
        <v>40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/>
      <c r="I136" s="17">
        <f t="shared" si="24"/>
        <v>600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/>
      <c r="I137" s="17">
        <f t="shared" si="24"/>
        <v>600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/>
      <c r="I139" s="17">
        <f t="shared" si="24"/>
        <v>600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>
      <c r="A140" s="15"/>
      <c r="B140" s="16"/>
      <c r="C140" s="17"/>
      <c r="D140" s="17"/>
      <c r="E140" s="17"/>
      <c r="F140" s="17"/>
      <c r="G140" s="17">
        <f t="shared" si="23"/>
        <v>0</v>
      </c>
      <c r="H140" s="17"/>
      <c r="I140" s="17">
        <f t="shared" si="24"/>
        <v>0</v>
      </c>
      <c r="J140" s="17"/>
      <c r="K140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44209.716689814813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/>
      <c r="C219" s="26"/>
      <c r="D219" s="26"/>
      <c r="E219" s="26"/>
      <c r="F219" s="21"/>
      <c r="G219" s="26"/>
      <c r="H219" s="27" t="str">
        <f>CONCATENATE(Table1[[#This Row],[Order Code]],Table1[[#This Row],[NAME]])</f>
        <v/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4" t="s">
        <v>233</v>
      </c>
      <c r="B1" s="55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2021-01-13T08:15:58Z</dcterms:modified>
</cp:coreProperties>
</file>