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81A00376-6F77-1F4C-B338-7FB101DE87AD}" xr6:coauthVersionLast="45" xr6:coauthVersionMax="45" xr10:uidLastSave="{00000000-0000-0000-0000-000000000000}"/>
  <bookViews>
    <workbookView xWindow="0" yWindow="460" windowWidth="25600" windowHeight="13020" xr2:uid="{00000000-000D-0000-FFFF-FFFF00000000}"/>
  </bookViews>
  <sheets>
    <sheet name="PaperSummary" sheetId="21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Paper!$A$5:$J$106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103" i="2" l="1"/>
  <c r="I3" i="2"/>
  <c r="G106" i="2" l="1"/>
  <c r="I106" i="2" s="1"/>
  <c r="K106" i="2"/>
  <c r="G105" i="2"/>
  <c r="I105" i="2" s="1"/>
  <c r="K105" i="2"/>
  <c r="G104" i="2"/>
  <c r="I104" i="2" s="1"/>
  <c r="K104" i="2"/>
  <c r="I103" i="2"/>
  <c r="K103" i="2"/>
  <c r="G102" i="2"/>
  <c r="I102" i="2" s="1"/>
  <c r="K102" i="2"/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F3" i="3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<sst xmlns="http://schemas.openxmlformats.org/spreadsheetml/2006/main" count="838" uniqueCount="295">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</sst>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30.722670138886" createdVersion="3" refreshedVersion="6" minRefreshableVersion="3" recordCount="100" xr:uid="{423437F8-565A-BE41-80CF-A2677EABDA6A}">
  <cacheSource type="worksheet">
    <worksheetSource ref="A5:K105" sheet="Paper"/>
  </cacheSource>
  <cacheFields count="11">
    <cacheField name="Arrival" numFmtId="49">
      <sharedItems count="3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8">
        <n v="600"/>
        <n v="300"/>
        <n v="200"/>
        <n v="100"/>
        <n v="60"/>
        <n v="400"/>
        <n v="80"/>
        <n v="5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9">
        <n v="600"/>
        <n v="1200"/>
        <n v="300"/>
        <n v="200"/>
        <n v="100"/>
        <n v="60"/>
        <n v="400"/>
        <n v="80"/>
        <n v="500"/>
      </sharedItems>
    </cacheField>
    <cacheField name="Used" numFmtId="0">
      <sharedItems containsString="0" containsBlank="1" containsNumber="1" containsInteger="1" minValue="10" maxValue="600" count="16">
        <n v="600"/>
        <n v="550"/>
        <m/>
        <n v="500"/>
        <n v="100"/>
        <n v="570"/>
        <n v="180"/>
        <n v="70"/>
        <n v="300"/>
        <n v="480"/>
        <n v="580"/>
        <n v="585"/>
        <n v="380"/>
        <n v="590"/>
        <n v="400"/>
        <n v="10"/>
      </sharedItems>
    </cacheField>
    <cacheField name="Remaining" numFmtId="0">
      <sharedItems containsSemiMixedTypes="0" containsString="0" containsNumber="1" containsInteger="1" minValue="0" maxValue="1200" count="19">
        <n v="0"/>
        <n v="50"/>
        <n v="600"/>
        <n v="100"/>
        <n v="1200"/>
        <n v="500"/>
        <n v="300"/>
        <n v="200"/>
        <n v="30"/>
        <n v="20"/>
        <n v="130"/>
        <n v="120"/>
        <n v="60"/>
        <n v="400"/>
        <n v="15"/>
        <n v="80"/>
        <n v="10"/>
        <n v="290"/>
        <n v="2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0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2"/>
    <x v="2"/>
    <x v="0"/>
    <x v="2"/>
  </r>
  <r>
    <x v="3"/>
    <x v="0"/>
    <x v="0"/>
    <x v="0"/>
    <x v="0"/>
    <x v="0"/>
    <x v="0"/>
    <x v="3"/>
    <x v="3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2"/>
    <x v="2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2"/>
    <x v="4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2"/>
    <x v="2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5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3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7"/>
    <x v="0"/>
    <x v="13"/>
  </r>
  <r>
    <x v="12"/>
    <x v="2"/>
    <x v="5"/>
    <x v="1"/>
    <x v="0"/>
    <x v="0"/>
    <x v="0"/>
    <x v="5"/>
    <x v="8"/>
    <x v="2"/>
    <x v="6"/>
  </r>
  <r>
    <x v="12"/>
    <x v="3"/>
    <x v="3"/>
    <x v="1"/>
    <x v="2"/>
    <x v="0"/>
    <x v="3"/>
    <x v="6"/>
    <x v="9"/>
    <x v="0"/>
    <x v="13"/>
  </r>
  <r>
    <x v="12"/>
    <x v="3"/>
    <x v="3"/>
    <x v="1"/>
    <x v="2"/>
    <x v="0"/>
    <x v="3"/>
    <x v="7"/>
    <x v="10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3"/>
    <x v="2"/>
    <x v="15"/>
  </r>
  <r>
    <x v="12"/>
    <x v="0"/>
    <x v="3"/>
    <x v="1"/>
    <x v="0"/>
    <x v="0"/>
    <x v="0"/>
    <x v="9"/>
    <x v="11"/>
    <x v="1"/>
    <x v="4"/>
  </r>
  <r>
    <x v="12"/>
    <x v="1"/>
    <x v="3"/>
    <x v="1"/>
    <x v="0"/>
    <x v="0"/>
    <x v="0"/>
    <x v="3"/>
    <x v="3"/>
    <x v="1"/>
    <x v="16"/>
  </r>
  <r>
    <x v="12"/>
    <x v="1"/>
    <x v="3"/>
    <x v="1"/>
    <x v="0"/>
    <x v="0"/>
    <x v="0"/>
    <x v="9"/>
    <x v="11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9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0"/>
    <x v="9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7"/>
    <x v="1"/>
    <x v="21"/>
  </r>
  <r>
    <x v="12"/>
    <x v="7"/>
    <x v="12"/>
    <x v="1"/>
    <x v="3"/>
    <x v="0"/>
    <x v="4"/>
    <x v="2"/>
    <x v="3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9"/>
    <x v="2"/>
    <x v="23"/>
  </r>
  <r>
    <x v="12"/>
    <x v="6"/>
    <x v="12"/>
    <x v="1"/>
    <x v="2"/>
    <x v="0"/>
    <x v="3"/>
    <x v="2"/>
    <x v="7"/>
    <x v="1"/>
    <x v="21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13"/>
    <x v="16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"/>
    <x v="1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3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14"/>
    <x v="7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9"/>
    <x v="0"/>
    <x v="27"/>
  </r>
  <r>
    <x v="25"/>
    <x v="0"/>
    <x v="6"/>
    <x v="1"/>
    <x v="0"/>
    <x v="0"/>
    <x v="0"/>
    <x v="2"/>
    <x v="2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2"/>
    <x v="2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2"/>
    <x v="2"/>
    <x v="0"/>
    <x v="8"/>
  </r>
  <r>
    <x v="29"/>
    <x v="2"/>
    <x v="3"/>
    <x v="1"/>
    <x v="1"/>
    <x v="0"/>
    <x v="2"/>
    <x v="2"/>
    <x v="6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2"/>
    <x v="2"/>
    <x v="0"/>
    <x v="29"/>
  </r>
  <r>
    <x v="32"/>
    <x v="0"/>
    <x v="7"/>
    <x v="1"/>
    <x v="0"/>
    <x v="0"/>
    <x v="0"/>
    <x v="2"/>
    <x v="2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13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2"/>
    <x v="2"/>
    <x v="0"/>
    <x v="14"/>
  </r>
  <r>
    <x v="33"/>
    <x v="0"/>
    <x v="7"/>
    <x v="1"/>
    <x v="0"/>
    <x v="0"/>
    <x v="0"/>
    <x v="3"/>
    <x v="3"/>
    <x v="0"/>
    <x v="8"/>
  </r>
  <r>
    <x v="33"/>
    <x v="0"/>
    <x v="4"/>
    <x v="1"/>
    <x v="0"/>
    <x v="0"/>
    <x v="0"/>
    <x v="12"/>
    <x v="18"/>
    <x v="0"/>
    <x v="9"/>
  </r>
  <r>
    <x v="33"/>
    <x v="2"/>
    <x v="3"/>
    <x v="1"/>
    <x v="0"/>
    <x v="0"/>
    <x v="0"/>
    <x v="2"/>
    <x v="2"/>
    <x v="0"/>
    <x v="14"/>
  </r>
  <r>
    <x v="34"/>
    <x v="0"/>
    <x v="7"/>
    <x v="1"/>
    <x v="0"/>
    <x v="0"/>
    <x v="0"/>
    <x v="2"/>
    <x v="2"/>
    <x v="0"/>
    <x v="8"/>
  </r>
  <r>
    <x v="34"/>
    <x v="0"/>
    <x v="7"/>
    <x v="1"/>
    <x v="0"/>
    <x v="0"/>
    <x v="0"/>
    <x v="2"/>
    <x v="2"/>
    <x v="0"/>
    <x v="8"/>
  </r>
  <r>
    <x v="35"/>
    <x v="0"/>
    <x v="7"/>
    <x v="1"/>
    <x v="0"/>
    <x v="0"/>
    <x v="0"/>
    <x v="14"/>
    <x v="7"/>
    <x v="0"/>
    <x v="8"/>
  </r>
  <r>
    <x v="35"/>
    <x v="0"/>
    <x v="0"/>
    <x v="0"/>
    <x v="0"/>
    <x v="0"/>
    <x v="0"/>
    <x v="2"/>
    <x v="2"/>
    <x v="0"/>
    <x v="0"/>
  </r>
  <r>
    <x v="35"/>
    <x v="0"/>
    <x v="7"/>
    <x v="1"/>
    <x v="0"/>
    <x v="0"/>
    <x v="0"/>
    <x v="2"/>
    <x v="2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4582B-83BE-A643-BEAE-8761143BA0D1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5" firstHeaderRow="1" firstDataRow="3" firstDataCol="1"/>
  <pivotFields count="11">
    <pivotField showAll="0" defaultSubtotal="0">
      <items count="36">
        <item x="31"/>
        <item x="32"/>
        <item x="30"/>
        <item x="33"/>
        <item x="34"/>
        <item x="35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8">
        <item x="4"/>
        <item x="6"/>
        <item x="3"/>
        <item x="2"/>
        <item x="1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9">
        <item x="5"/>
        <item x="7"/>
        <item x="4"/>
        <item x="3"/>
        <item x="2"/>
        <item x="6"/>
        <item x="8"/>
        <item x="0"/>
        <item x="1"/>
      </items>
    </pivotField>
    <pivotField showAll="0" defaultSubtotal="0">
      <items count="16">
        <item x="15"/>
        <item x="7"/>
        <item x="4"/>
        <item x="6"/>
        <item x="8"/>
        <item x="12"/>
        <item x="14"/>
        <item x="9"/>
        <item x="3"/>
        <item x="1"/>
        <item x="5"/>
        <item x="10"/>
        <item x="11"/>
        <item x="13"/>
        <item x="0"/>
        <item x="2"/>
      </items>
    </pivotField>
    <pivotField dataField="1" showAll="0" defaultSubtotal="0">
      <items count="19">
        <item x="0"/>
        <item x="16"/>
        <item x="14"/>
        <item x="9"/>
        <item x="8"/>
        <item x="1"/>
        <item x="12"/>
        <item x="15"/>
        <item x="3"/>
        <item x="11"/>
        <item x="10"/>
        <item x="7"/>
        <item x="18"/>
        <item x="17"/>
        <item x="6"/>
        <item x="13"/>
        <item x="5"/>
        <item x="2"/>
        <item x="4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17"/>
        <item x="22"/>
        <item x="25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06" headerRowDxfId="39" dataDxfId="38" totalsRowDxfId="37">
  <autoFilter ref="A5:K106" xr:uid="{00000000-0009-0000-0100-000002000000}">
    <filterColumn colId="10">
      <customFilters>
        <customFilter val="*15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85AC9-D215-FE43-A9B2-D08282A3B8AB}">
  <dimension ref="B1:X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  <c r="X3" s="52">
        <v>220</v>
      </c>
    </row>
    <row r="4" spans="2:24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253</v>
      </c>
      <c r="C14" s="6"/>
      <c r="D14" s="6">
        <v>1620</v>
      </c>
      <c r="E14" s="6"/>
      <c r="F14" s="6">
        <v>50</v>
      </c>
      <c r="G14" s="6"/>
      <c r="H14" s="6">
        <v>1300</v>
      </c>
      <c r="I14" s="6">
        <v>600</v>
      </c>
      <c r="J14" s="6"/>
      <c r="K14" s="6"/>
      <c r="L14" s="6">
        <v>600</v>
      </c>
      <c r="M14" s="6"/>
      <c r="N14" s="6">
        <v>700</v>
      </c>
      <c r="O14" s="6">
        <v>220</v>
      </c>
      <c r="P14" s="6"/>
      <c r="Q14" s="6">
        <v>3300</v>
      </c>
      <c r="R14" s="6"/>
      <c r="S14" s="6">
        <v>700</v>
      </c>
      <c r="T14" s="6">
        <v>650</v>
      </c>
      <c r="U14" s="6">
        <v>20</v>
      </c>
      <c r="V14" s="6">
        <v>1100</v>
      </c>
      <c r="W14" s="6">
        <v>600</v>
      </c>
      <c r="X14" s="6"/>
    </row>
    <row r="15" spans="2:24">
      <c r="B15" s="5" t="s">
        <v>229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06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294</v>
      </c>
      <c r="B2" s="46" t="s">
        <v>254</v>
      </c>
      <c r="I2" s="58" t="s">
        <v>235</v>
      </c>
      <c r="J2" s="59"/>
      <c r="M2" s="30"/>
      <c r="N2" s="30"/>
      <c r="O2" s="30"/>
      <c r="P2" s="30"/>
    </row>
    <row r="3" spans="1:19" ht="23" thickBot="1">
      <c r="I3" s="56">
        <f>LastSavedTimeStamp()</f>
        <v>44130.722534722219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6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550</v>
      </c>
      <c r="I7" s="17">
        <f t="shared" si="1"/>
        <v>50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6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500</v>
      </c>
      <c r="I9" s="17">
        <f t="shared" si="1"/>
        <v>100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18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9" t="s">
        <v>276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 hidden="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 hidden="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 hidden="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271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 hidden="1">
      <c r="A73" s="15" t="s">
        <v>270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270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270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273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 hidden="1">
      <c r="A77" s="15" t="s">
        <v>273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 hidden="1">
      <c r="A78" s="15" t="s">
        <v>273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277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 hidden="1">
      <c r="A81" s="15" t="s">
        <v>279</v>
      </c>
      <c r="B81" s="19" t="s">
        <v>280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 hidden="1">
      <c r="A82" s="15" t="s">
        <v>279</v>
      </c>
      <c r="B82" s="19" t="s">
        <v>280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 hidden="1">
      <c r="A83" s="47" t="s">
        <v>278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 hidden="1">
      <c r="A84" s="47" t="s">
        <v>278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600</v>
      </c>
      <c r="I84" s="17">
        <f t="shared" si="13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281</v>
      </c>
      <c r="B85" s="19" t="s">
        <v>282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283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14">F86*E86</f>
        <v>600</v>
      </c>
      <c r="H86" s="17"/>
      <c r="I86" s="17">
        <f t="shared" ref="I86:I95" si="15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 hidden="1">
      <c r="A87" s="15" t="s">
        <v>285</v>
      </c>
      <c r="B87" s="19" t="s">
        <v>286</v>
      </c>
      <c r="C87" s="17">
        <v>165</v>
      </c>
      <c r="D87" s="17"/>
      <c r="E87" s="17">
        <v>600</v>
      </c>
      <c r="F87" s="17">
        <v>1</v>
      </c>
      <c r="G87" s="17">
        <f t="shared" si="14"/>
        <v>600</v>
      </c>
      <c r="H87" s="17">
        <v>600</v>
      </c>
      <c r="I87" s="17">
        <f t="shared" si="15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 hidden="1">
      <c r="A88" s="15" t="s">
        <v>285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14"/>
        <v>600</v>
      </c>
      <c r="H88" s="17"/>
      <c r="I88" s="17">
        <f t="shared" si="15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 hidden="1">
      <c r="A89" s="15" t="s">
        <v>285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14"/>
        <v>300</v>
      </c>
      <c r="H89" s="17"/>
      <c r="I89" s="17">
        <f t="shared" si="15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 hidden="1">
      <c r="A90" s="15" t="s">
        <v>287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14"/>
        <v>300</v>
      </c>
      <c r="H90" s="17">
        <v>10</v>
      </c>
      <c r="I90" s="17">
        <f t="shared" si="15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 hidden="1">
      <c r="A91" s="15" t="s">
        <v>288</v>
      </c>
      <c r="B91" s="18" t="s">
        <v>231</v>
      </c>
      <c r="C91" s="17">
        <v>220</v>
      </c>
      <c r="D91" s="17"/>
      <c r="E91" s="17">
        <v>600</v>
      </c>
      <c r="F91" s="17">
        <v>1</v>
      </c>
      <c r="G91" s="17">
        <f t="shared" si="14"/>
        <v>600</v>
      </c>
      <c r="H91" s="17"/>
      <c r="I91" s="17">
        <f t="shared" si="15"/>
        <v>600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 hidden="1">
      <c r="A92" s="15" t="s">
        <v>289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14"/>
        <v>600</v>
      </c>
      <c r="H92" s="17"/>
      <c r="I92" s="17">
        <f t="shared" si="15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 hidden="1">
      <c r="A93" s="15" t="s">
        <v>289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14"/>
        <v>600</v>
      </c>
      <c r="H93" s="17"/>
      <c r="I93" s="17">
        <f t="shared" si="15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 hidden="1">
      <c r="A94" s="15" t="s">
        <v>288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14"/>
        <v>500</v>
      </c>
      <c r="H94" s="17">
        <v>100</v>
      </c>
      <c r="I94" s="17">
        <f t="shared" si="15"/>
        <v>400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>
      <c r="A95" s="15" t="s">
        <v>291</v>
      </c>
      <c r="B95" s="19" t="s">
        <v>253</v>
      </c>
      <c r="C95" s="17">
        <v>155</v>
      </c>
      <c r="D95" s="17"/>
      <c r="E95" s="17">
        <v>600</v>
      </c>
      <c r="F95" s="17">
        <v>1</v>
      </c>
      <c r="G95" s="17">
        <f t="shared" si="14"/>
        <v>600</v>
      </c>
      <c r="H95" s="17">
        <v>600</v>
      </c>
      <c r="I95" s="17">
        <f t="shared" si="15"/>
        <v>0</v>
      </c>
      <c r="J95" s="18"/>
      <c r="K95" s="20" t="str">
        <f>CONCATENATE(Table2[[#This Row],[Specs]],Table2[[#This Row],[Width]],Table2[[#This Row],[Slitting]])</f>
        <v>y ユポ80 MDN 8GB155</v>
      </c>
    </row>
    <row r="96" spans="1:11" hidden="1">
      <c r="A96" s="15" t="s">
        <v>291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ref="G96:G101" si="16">F96*E96</f>
        <v>600</v>
      </c>
      <c r="H96" s="17"/>
      <c r="I96" s="17">
        <f t="shared" ref="I96:I101" si="17">G96-H96</f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 hidden="1">
      <c r="A97" s="15" t="s">
        <v>291</v>
      </c>
      <c r="B97" s="18" t="s">
        <v>12</v>
      </c>
      <c r="C97" s="17">
        <v>90</v>
      </c>
      <c r="D97" s="17"/>
      <c r="E97" s="17">
        <v>600</v>
      </c>
      <c r="F97" s="17">
        <v>1</v>
      </c>
      <c r="G97" s="17">
        <f t="shared" si="16"/>
        <v>600</v>
      </c>
      <c r="H97" s="17"/>
      <c r="I97" s="17">
        <f t="shared" si="17"/>
        <v>600</v>
      </c>
      <c r="J97" s="18"/>
      <c r="K97" s="20" t="str">
        <f>CONCATENATE(Table2[[#This Row],[Specs]],Table2[[#This Row],[Width]],Table2[[#This Row],[Slitting]])</f>
        <v>Nキャスト&lt;73&gt;ME80E90</v>
      </c>
    </row>
    <row r="98" spans="1:11" hidden="1">
      <c r="A98" s="15" t="s">
        <v>291</v>
      </c>
      <c r="B98" s="18" t="s">
        <v>253</v>
      </c>
      <c r="C98" s="17">
        <v>165</v>
      </c>
      <c r="D98" s="17"/>
      <c r="E98" s="17">
        <v>600</v>
      </c>
      <c r="F98" s="17">
        <v>1</v>
      </c>
      <c r="G98" s="17">
        <f t="shared" si="16"/>
        <v>600</v>
      </c>
      <c r="H98" s="17">
        <v>500</v>
      </c>
      <c r="I98" s="17">
        <f t="shared" si="17"/>
        <v>100</v>
      </c>
      <c r="J98" s="18"/>
      <c r="K98" s="20" t="str">
        <f>CONCATENATE(Table2[[#This Row],[Specs]],Table2[[#This Row],[Width]],Table2[[#This Row],[Slitting]])</f>
        <v>y ユポ80 MDN 8GB165</v>
      </c>
    </row>
    <row r="99" spans="1:11">
      <c r="A99" s="15" t="s">
        <v>291</v>
      </c>
      <c r="B99" s="16" t="s">
        <v>253</v>
      </c>
      <c r="C99" s="17">
        <v>155</v>
      </c>
      <c r="D99" s="17"/>
      <c r="E99" s="17">
        <v>600</v>
      </c>
      <c r="F99" s="17">
        <v>1</v>
      </c>
      <c r="G99" s="17">
        <f t="shared" si="16"/>
        <v>600</v>
      </c>
      <c r="H99" s="17">
        <v>380</v>
      </c>
      <c r="I99" s="17">
        <f t="shared" si="17"/>
        <v>220</v>
      </c>
      <c r="J99" s="18"/>
      <c r="K99" s="20" t="str">
        <f>CONCATENATE(Table2[[#This Row],[Specs]],Table2[[#This Row],[Width]],Table2[[#This Row],[Slitting]])</f>
        <v>y ユポ80 MDN 8GB155</v>
      </c>
    </row>
    <row r="100" spans="1:11" hidden="1">
      <c r="A100" s="15" t="s">
        <v>291</v>
      </c>
      <c r="B100" s="18" t="s">
        <v>12</v>
      </c>
      <c r="C100" s="17">
        <v>90</v>
      </c>
      <c r="D100" s="17"/>
      <c r="E100" s="17">
        <v>600</v>
      </c>
      <c r="F100" s="17">
        <v>1</v>
      </c>
      <c r="G100" s="17">
        <f t="shared" si="16"/>
        <v>600</v>
      </c>
      <c r="H100" s="17"/>
      <c r="I100" s="17">
        <f t="shared" si="17"/>
        <v>600</v>
      </c>
      <c r="J100" s="18"/>
      <c r="K100" s="20" t="str">
        <f>CONCATENATE(Table2[[#This Row],[Specs]],Table2[[#This Row],[Width]],Table2[[#This Row],[Slitting]])</f>
        <v>Nキャスト&lt;73&gt;ME80E90</v>
      </c>
    </row>
    <row r="101" spans="1:11" hidden="1">
      <c r="A101" s="15" t="s">
        <v>292</v>
      </c>
      <c r="B101" s="16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si="16"/>
        <v>600</v>
      </c>
      <c r="H101" s="17"/>
      <c r="I101" s="17">
        <f t="shared" si="17"/>
        <v>600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 hidden="1">
      <c r="A102" s="15" t="s">
        <v>292</v>
      </c>
      <c r="B102" s="16" t="s">
        <v>253</v>
      </c>
      <c r="C102" s="17">
        <v>165</v>
      </c>
      <c r="D102" s="17"/>
      <c r="E102" s="17">
        <v>600</v>
      </c>
      <c r="F102" s="17">
        <v>1</v>
      </c>
      <c r="G102" s="17">
        <f>F102*E102</f>
        <v>600</v>
      </c>
      <c r="H102" s="17"/>
      <c r="I102" s="17">
        <f>G102-H102</f>
        <v>600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 hidden="1">
      <c r="A103" s="15" t="s">
        <v>293</v>
      </c>
      <c r="B103" s="16" t="s">
        <v>253</v>
      </c>
      <c r="C103" s="17">
        <v>165</v>
      </c>
      <c r="D103" s="17"/>
      <c r="E103" s="17">
        <v>600</v>
      </c>
      <c r="F103" s="17">
        <v>1</v>
      </c>
      <c r="G103" s="17">
        <f>F103*E103</f>
        <v>600</v>
      </c>
      <c r="H103" s="17">
        <v>400</v>
      </c>
      <c r="I103" s="17">
        <f>G103-H103</f>
        <v>200</v>
      </c>
      <c r="J103" s="18"/>
      <c r="K103" s="20" t="str">
        <f>CONCATENATE(Table2[[#This Row],[Specs]],Table2[[#This Row],[Width]],Table2[[#This Row],[Slitting]])</f>
        <v>y ユポ80 MDN 8GB165</v>
      </c>
    </row>
    <row r="104" spans="1:11" hidden="1">
      <c r="A104" s="15" t="s">
        <v>293</v>
      </c>
      <c r="B104" s="16" t="s">
        <v>253</v>
      </c>
      <c r="C104" s="17">
        <v>185</v>
      </c>
      <c r="D104" s="17" t="s">
        <v>267</v>
      </c>
      <c r="E104" s="17">
        <v>600</v>
      </c>
      <c r="F104" s="17">
        <v>1</v>
      </c>
      <c r="G104" s="17">
        <f>F104*E104</f>
        <v>600</v>
      </c>
      <c r="H104" s="17"/>
      <c r="I104" s="17">
        <f>G104-H104</f>
        <v>600</v>
      </c>
      <c r="J104" s="18"/>
      <c r="K104" s="20" t="str">
        <f>CONCATENATE(Table2[[#This Row],[Specs]],Table2[[#This Row],[Width]],Table2[[#This Row],[Slitting]])</f>
        <v>y ユポ80 MDN 8GB185i 一本刃</v>
      </c>
    </row>
    <row r="105" spans="1:11" hidden="1">
      <c r="A105" s="15" t="s">
        <v>293</v>
      </c>
      <c r="B105" s="16" t="s">
        <v>253</v>
      </c>
      <c r="C105" s="17">
        <v>165</v>
      </c>
      <c r="D105" s="17"/>
      <c r="E105" s="17">
        <v>600</v>
      </c>
      <c r="F105" s="17">
        <v>1</v>
      </c>
      <c r="G105" s="17">
        <f>F105*E105</f>
        <v>600</v>
      </c>
      <c r="H105" s="17"/>
      <c r="I105" s="17">
        <f>G105-H105</f>
        <v>600</v>
      </c>
      <c r="J105" s="18"/>
      <c r="K105" s="20" t="str">
        <f>CONCATENATE(Table2[[#This Row],[Specs]],Table2[[#This Row],[Width]],Table2[[#This Row],[Slitting]])</f>
        <v>y ユポ80 MDN 8GB165</v>
      </c>
    </row>
    <row r="106" spans="1:11" hidden="1">
      <c r="A106" s="15"/>
      <c r="B106" s="16"/>
      <c r="C106" s="17"/>
      <c r="D106" s="17"/>
      <c r="E106" s="17"/>
      <c r="F106" s="17"/>
      <c r="G106" s="17">
        <f>F106*E106</f>
        <v>0</v>
      </c>
      <c r="H106" s="17"/>
      <c r="I106" s="17">
        <f>G106-H106</f>
        <v>0</v>
      </c>
      <c r="J106" s="18"/>
      <c r="K10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44126.782905092594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290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269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275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284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284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284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233</v>
      </c>
      <c r="B1" s="61"/>
      <c r="C1" s="45" t="s">
        <v>274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272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2020-10-26T08:20:41Z</dcterms:modified>
</cp:coreProperties>
</file>