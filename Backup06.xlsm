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95ECDA83-9977-5749-B291-6F1F0AB1941A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1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Paper!$A$5:$J$166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5" r:id="rId9"/>
  </pivotCaches>
</workbook>
</file>

<file path=xl/calcChain.xml><?xml version="1.0" encoding="utf-8"?>
<calcChain xmlns="http://schemas.openxmlformats.org/spreadsheetml/2006/main">
  <c r="G166" i="2" l="1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1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<sst xmlns="http://schemas.openxmlformats.org/spreadsheetml/2006/main" count="1089" uniqueCount="370">
  <si>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</si>
  <si>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</si>
  <si>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</si>
  <si>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</si>
  <si>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</si>
  <si>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</si>
  <si>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</si>
  <si>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</si>
  <si>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</si>
  <si>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</si>
  <si>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</si>
  <si>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</si>
  <si>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</si>
  <si>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</si>
  <si>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</si>
  <si>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</si>
  <si>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</si>
  <si>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</si>
  <si>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</si>
  <si>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</si>
  <si>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</si>
  <si>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</si>
  <si>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</si>
  <si>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</si>
  <si>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</si>
  <si>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</si>
  <si>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</si>
  <si>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</si>
  <si>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</si>
  <si>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</si>
  <si>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</si>
  <si>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</si>
  <si>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</si>
  <si>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</si>
  <si>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</si>
  <si>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</si>
  <si>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</si>
  <si>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</si>
  <si>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</si>
  <si>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</si>
  <si>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</si>
  <si>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</si>
  <si>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</si>
  <si>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</si>
  <si>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</si>
  <si>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</si>
  <si>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</si>
  <si>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</si>
  <si>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</si>
  <si>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</si>
  <si>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</si>
  <si>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</si>
  <si>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</si>
  <si>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</si>
  <si>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</si>
  <si>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</si>
  <si>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</si>
  <si>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</si>
  <si>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</si>
  <si>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</si>
  <si>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</si>
  <si>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</si>
  <si>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</si>
  <si>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</si>
  <si>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</si>
  <si>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</si>
  <si>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</si>
  <si>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</si>
  <si>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</si>
  <si>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</si>
  <si>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</si>
  <si>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</si>
  <si>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</si>
  <si>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</si>
  <si>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</si>
  <si>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</si>
  <si>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</si>
  <si>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</si>
  <si>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</si>
  <si>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</si>
  <si>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</si>
  <si>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</si>
  <si>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</si>
  <si>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</si>
  <si>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</si>
  <si>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</si>
  <si>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</si>
  <si>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</si>
  <si>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</si>
  <si>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</si>
  <si>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</si>
  <si>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</si>
  <si>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</si>
  <si>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</si>
  <si>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</si>
  <si>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</si>
  <si>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</si>
  <si>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</si>
  <si>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</si>
  <si>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</si>
  <si>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</si>
  <si>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</si>
  <si>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</si>
  <si>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</si>
  <si>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</si>
  <si>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</si>
  <si>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</si>
  <si>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</si>
  <si>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</si>
  <si>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</si>
  <si>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</si>
  <si>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</si>
  <si>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</si>
  <si>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</si>
  <si>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</si>
  <si>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</si>
  <si>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</si>
  <si>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</si>
  <si>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</si>
  <si>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</si>
  <si>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</si>
  <si>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</si>
  <si>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</si>
  <si>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</si>
  <si>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</si>
  <si>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</si>
  <si>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</si>
  <si>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</si>
  <si>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</si>
  <si>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</si>
  <si>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</si>
  <si>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</si>
  <si>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</si>
  <si>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</si>
  <si>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</si>
  <si>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</si>
  <si>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</si>
  <si>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</si>
  <si>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</si>
  <si>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</si>
  <si>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</si>
  <si>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</si>
  <si>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</si>
  <si>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</si>
  <si>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</si>
  <si>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</si>
  <si>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</si>
  <si>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</si>
  <si>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</si>
  <si>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</si>
  <si>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</si>
  <si>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</si>
  <si>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</si>
  <si>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</si>
  <si>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</si>
  <si>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</si>
  <si>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</si>
  <si>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</si>
  <si>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</si>
  <si>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</si>
  <si>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</si>
  <si>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</si>
  <si>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</si>
  <si>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</si>
  <si>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</si>
  <si>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</si>
  <si>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</si>
  <si>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</si>
  <si>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</si>
  <si>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</si>
  <si>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</si>
  <si>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</si>
  <si>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</si>
  <si>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</si>
  <si>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</si>
  <si>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</si>
  <si>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</si>
  <si>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</si>
  <si>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</si>
  <si>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</si>
  <si>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</si>
  <si>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</si>
  <si>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</si>
  <si>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</si>
  <si>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</si>
  <si>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</si>
  <si>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</si>
  <si>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</si>
  <si>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</si>
  <si>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</si>
  <si>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</si>
  <si>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</si>
  <si>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</si>
  <si>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</si>
  <si>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</si>
  <si>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</si>
  <si>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</si>
  <si>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</si>
  <si>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</si>
  <si>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</si>
  <si>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</si>
  <si>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</si>
  <si>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</si>
  <si>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</si>
  <si>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</si>
  <si>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</si>
  <si>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</si>
  <si>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</si>
  <si>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</si>
  <si>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</si>
  <si>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</si>
  <si>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</si>
  <si>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</si>
  <si>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</si>
  <si>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</si>
  <si>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</si>
  <si>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</si>
  <si>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</si>
  <si>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</si>
  <si>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</si>
  <si>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</si>
  <si>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</si>
  <si>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</si>
  <si>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</si>
  <si>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</si>
  <si>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</si>
  <si>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</si>
  <si>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</si>
  <si>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</si>
  <si>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</si>
  <si>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</si>
  <si>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</si>
  <si>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</si>
  <si>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</si>
  <si>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</si>
  <si>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</si>
  <si>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</si>
  <si>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</si>
  <si>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</si>
  <si>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</si>
  <si>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</si>
  <si>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</si>
  <si>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</si>
  <si>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</si>
  <si>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</si>
  <si>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</si>
  <si>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</si>
  <si>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</si>
  <si>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</si>
  <si>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</si>
  <si>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</si>
  <si>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</si>
  <si>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</si>
  <si>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</si>
  <si>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</si>
  <si>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</si>
  <si>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</si>
  <si>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</si>
  <si>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</si>
  <si>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</si>
  <si>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</si>
  <si>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</si>
  <si>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</si>
  <si>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</si>
  <si>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</si>
  <si>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</si>
  <si>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</si>
  <si>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</si>
  <si>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</si>
  <si>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</si>
  <si>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</si>
  <si>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</si>
  <si>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</si>
  <si>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</si>
  <si>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</si>
  <si>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</si>
  <si>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</si>
  <si>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</si>
  <si>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</si>
  <si>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</si>
  <si>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</si>
  <si>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</si>
  <si>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</si>
  <si>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</si>
  <si>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</si>
  <si>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</si>
  <si>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</si>
  <si>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</si>
  <si>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</si>
  <si>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</si>
  <si>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</si>
  <si>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</si>
  <si>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</si>
  <si>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</si>
  <si>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</si>
  <si>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</si>
  <si>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</si>
  <si>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</si>
  <si>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</si>
  <si>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</si>
  <si>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</si>
  <si>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</si>
  <si>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</si>
  <si>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</si>
  <si>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</si>
  <si>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</si>
  <si>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</si>
  <si>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</si>
  <si>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</si>
  <si>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</si>
  <si>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</si>
  <si>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</si>
  <si>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</si>
  <si>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</si>
  <si>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</si>
  <si>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</si>
  <si>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</si>
  <si>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</si>
  <si>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</si>
  <si>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</si>
  <si>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</si>
  <si>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</si>
  <si>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</si>
  <si>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</si>
  <si>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</si>
  <si>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</si>
  <si>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</si>
  <si>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</si>
  <si>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</si>
  <si>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</si>
  <si>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</si>
  <si>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</si>
  <si>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</si>
  <si>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</si>
  <si>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</si>
  <si>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</si>
  <si>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</si>
  <si>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</si>
  <si>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</si>
  <si>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</si>
  <si>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</si>
  <si>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</si>
  <si>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</si>
  <si>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</si>
  <si>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</si>
  <si>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</si>
  <si>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</si>
  <si>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</si>
  <si>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</si>
  <si>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</si>
  <si>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</si>
  <si>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</si>
  <si>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</si>
  <si>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</si>
  <si>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</si>
  <si>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</si>
  <si>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</si>
  <si>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</si>
  <si>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</si>
  <si>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</si>
  <si>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</si>
  <si>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</si>
  <si>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</si>
  <si>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</si>
  <si>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</si>
  <si>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</si>
  <si>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</si>
  <si>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</si>
  <si>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サン</t>
  </si>
  <si>
    <t>2/17/2021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</si>
</sst>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70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0" fontId="19" fillId="0" borderId="0" xfId="1" applyNumberFormat="1" applyFont="1" applyAlignment="1"/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70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5.718264814815" createdVersion="3" refreshedVersion="6" minRefreshableVersion="3" recordCount="160" xr:uid="{1C145D7F-3559-D042-85E4-4133805CE5E5}">
  <cacheSource type="worksheet">
    <worksheetSource ref="A5:K165" sheet="Paper"/>
  </cacheSource>
  <cacheFields count="11">
    <cacheField name="Arrival" numFmtId="49">
      <sharedItems count="6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00"/>
        <n v="570"/>
        <n v="180"/>
        <n v="70"/>
        <n v="300"/>
        <n v="480"/>
        <n v="580"/>
        <n v="585"/>
        <n v="380"/>
        <n v="10"/>
        <n v="250"/>
        <n v="80"/>
        <n v="55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2"/>
    <x v="14"/>
    <x v="0"/>
    <x v="24"/>
  </r>
  <r>
    <x v="18"/>
    <x v="9"/>
    <x v="14"/>
    <x v="1"/>
    <x v="6"/>
    <x v="0"/>
    <x v="7"/>
    <x v="2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4"/>
    <x v="0"/>
    <x v="24"/>
  </r>
  <r>
    <x v="23"/>
    <x v="9"/>
    <x v="12"/>
    <x v="1"/>
    <x v="5"/>
    <x v="0"/>
    <x v="6"/>
    <x v="2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6"/>
    <x v="0"/>
    <x v="30"/>
  </r>
  <r>
    <x v="37"/>
    <x v="11"/>
    <x v="12"/>
    <x v="1"/>
    <x v="7"/>
    <x v="0"/>
    <x v="8"/>
    <x v="2"/>
    <x v="16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7"/>
    <x v="19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2"/>
    <x v="0"/>
    <x v="37"/>
  </r>
  <r>
    <x v="59"/>
    <x v="0"/>
    <x v="0"/>
    <x v="0"/>
    <x v="0"/>
    <x v="0"/>
    <x v="0"/>
    <x v="20"/>
    <x v="2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"/>
    <x v="2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5"/>
    <x v="5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4"/>
    <x v="4"/>
    <x v="0"/>
    <x v="10"/>
  </r>
  <r>
    <x v="63"/>
    <x v="0"/>
    <x v="7"/>
    <x v="1"/>
    <x v="0"/>
    <x v="0"/>
    <x v="0"/>
    <x v="2"/>
    <x v="2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2"/>
    <x v="2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5E433-B6FF-F648-AF17-CB6DF32B6765}" name="PaperPivotTable" cacheId="5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5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4"/>
        <item x="8"/>
        <item x="16"/>
        <item x="1"/>
        <item x="7"/>
        <item x="19"/>
        <item x="15"/>
        <item x="9"/>
        <item x="13"/>
        <item x="4"/>
        <item x="20"/>
        <item x="10"/>
        <item x="5"/>
        <item x="17"/>
        <item x="6"/>
        <item x="11"/>
        <item x="12"/>
        <item x="0"/>
        <item x="18"/>
        <item x="2"/>
      </items>
    </pivotField>
    <pivotField dataField="1" showAll="0" defaultSubtotal="0">
      <items count="22">
        <item x="0"/>
        <item x="13"/>
        <item x="8"/>
        <item x="7"/>
        <item x="19"/>
        <item x="11"/>
        <item x="14"/>
        <item x="5"/>
        <item x="10"/>
        <item x="9"/>
        <item x="20"/>
        <item x="21"/>
        <item x="4"/>
        <item x="15"/>
        <item x="6"/>
        <item x="17"/>
        <item x="12"/>
        <item x="1"/>
        <item x="16"/>
        <item x="18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6" headerRowDxfId="52" dataDxfId="51" totalsRowDxfId="50">
  <autoFilter ref="A5:K16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サン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29" totalsRowShown="0" headerRowDxfId="18" dataDxfId="17">
  <autoFilter ref="A4:L29" xr:uid="{2B0FEFF4-7EF3-B54D-B3E6-808DF4203ADB}"/>
  <tableColumns count="12">
    <tableColumn id="1" xr3:uid="{326CA969-F76E-DD45-A448-2EB0CC3A1E14}" name="Item" dataDxfId="8"/>
    <tableColumn id="12" xr3:uid="{345ECD02-4CC9-264C-859A-F5559A9483F4}" name="Used" dataDxfId="5"/>
    <tableColumn id="11" xr3:uid="{46C93879-F528-B046-91B0-2F690DBFC1B6}" name="Price" dataDxfId="6" dataCellStyle="Comma"/>
    <tableColumn id="2" xr3:uid="{94331D38-FB24-BC42-9C2A-75FC90CF759E}" name="Order No." dataDxfId="7"/>
    <tableColumn id="10" xr3:uid="{344F67DB-8944-5646-A4AD-415B23CFEF87}" name="Order Qty" dataDxfId="16"/>
    <tableColumn id="3" xr3:uid="{81B69717-EF50-964A-9D69-F880A47FBE35}" name="一本" dataDxfId="15"/>
    <tableColumn id="4" xr3:uid="{C260D21A-2F90-F64E-957D-52353309EECB}" name="Size" dataDxfId="14"/>
    <tableColumn id="5" xr3:uid="{5027592F-297D-0342-9A60-1178D09CB995}" name="Made Qty." dataDxfId="13"/>
    <tableColumn id="6" xr3:uid="{5DD021C4-82A5-2B4E-A21F-01878F596B5F}" name="No. of parts" dataDxfId="12"/>
    <tableColumn id="7" xr3:uid="{F75D1D7D-B7E9-6C4F-B480-7C568B3EDE37}" name="Box Name" dataDxfId="11"/>
    <tableColumn id="8" xr3:uid="{897F741F-2B64-9C41-9264-6B4530CF42B0}" name="Production Date" dataDxfId="10"/>
    <tableColumn id="9" xr3:uid="{BCCE5F6F-AED2-D84A-9220-A9B392E36D62}" name="No. of order last year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7541-467B-2F41-93F5-8338B11F9EC4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44245.718206018515</v>
      </c>
    </row>
    <row r="2" spans="2:26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</row>
    <row r="3" spans="2:26">
      <c r="B3" s="56"/>
      <c r="C3" s="55">
        <v>40</v>
      </c>
      <c r="D3" s="55">
        <v>90</v>
      </c>
      <c r="E3" s="55">
        <v>100</v>
      </c>
      <c r="F3" s="55">
        <v>110</v>
      </c>
      <c r="G3" s="55">
        <v>115</v>
      </c>
      <c r="H3" s="55">
        <v>120</v>
      </c>
      <c r="I3" s="57">
        <v>125</v>
      </c>
      <c r="J3" s="58"/>
      <c r="K3" s="55">
        <v>130</v>
      </c>
      <c r="L3" s="55">
        <v>135</v>
      </c>
      <c r="M3" s="55">
        <v>140</v>
      </c>
      <c r="N3" s="55">
        <v>150</v>
      </c>
      <c r="O3" s="57">
        <v>155</v>
      </c>
      <c r="P3" s="58"/>
      <c r="Q3" s="55">
        <v>160</v>
      </c>
      <c r="R3" s="55">
        <v>165</v>
      </c>
      <c r="S3" s="55">
        <v>175</v>
      </c>
      <c r="T3" s="57">
        <v>185</v>
      </c>
      <c r="U3" s="58"/>
      <c r="V3" s="57">
        <v>205</v>
      </c>
      <c r="W3" s="58"/>
      <c r="X3" s="55">
        <v>210</v>
      </c>
      <c r="Y3" s="55">
        <v>215</v>
      </c>
      <c r="Z3" s="55">
        <v>220</v>
      </c>
    </row>
    <row r="4" spans="2:26">
      <c r="B4" s="7" t="s">
        <v>0</v>
      </c>
      <c r="C4" s="55" t="s">
        <v>253</v>
      </c>
      <c r="D4" s="55" t="s">
        <v>253</v>
      </c>
      <c r="E4" s="55" t="s">
        <v>253</v>
      </c>
      <c r="F4" s="55" t="s">
        <v>253</v>
      </c>
      <c r="G4" s="55" t="s">
        <v>253</v>
      </c>
      <c r="H4" s="55" t="s">
        <v>253</v>
      </c>
      <c r="I4" s="55" t="s">
        <v>261</v>
      </c>
      <c r="J4" s="55" t="s">
        <v>253</v>
      </c>
      <c r="K4" s="55" t="s">
        <v>253</v>
      </c>
      <c r="L4" s="55" t="s">
        <v>253</v>
      </c>
      <c r="M4" s="55" t="s">
        <v>253</v>
      </c>
      <c r="N4" s="55" t="s">
        <v>253</v>
      </c>
      <c r="O4" s="55" t="s">
        <v>261</v>
      </c>
      <c r="P4" s="55" t="s">
        <v>253</v>
      </c>
      <c r="Q4" s="55" t="s">
        <v>253</v>
      </c>
      <c r="R4" s="55" t="s">
        <v>253</v>
      </c>
      <c r="S4" s="55" t="s">
        <v>253</v>
      </c>
      <c r="T4" s="55" t="s">
        <v>261</v>
      </c>
      <c r="U4" s="55" t="s">
        <v>253</v>
      </c>
      <c r="V4" s="55" t="s">
        <v>261</v>
      </c>
      <c r="W4" s="55" t="s">
        <v>253</v>
      </c>
      <c r="X4" s="55" t="s">
        <v>253</v>
      </c>
      <c r="Y4" s="55" t="s">
        <v>253</v>
      </c>
      <c r="Z4" s="55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1400</v>
      </c>
      <c r="K17" s="6"/>
      <c r="L17" s="6"/>
      <c r="M17" s="6">
        <v>600</v>
      </c>
      <c r="N17" s="6"/>
      <c r="O17" s="6">
        <v>800</v>
      </c>
      <c r="P17" s="6">
        <v>800</v>
      </c>
      <c r="Q17" s="6"/>
      <c r="R17" s="6">
        <v>1900</v>
      </c>
      <c r="S17" s="6"/>
      <c r="T17" s="6">
        <v>150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6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250</v>
      </c>
      <c r="I2" s="60"/>
      <c r="J2" s="60"/>
      <c r="M2" s="28"/>
      <c r="N2" s="28"/>
      <c r="O2" s="28"/>
      <c r="P2" s="28"/>
    </row>
    <row r="3" spans="1:19" ht="22">
      <c r="I3" s="59"/>
      <c r="J3" s="59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450</v>
      </c>
      <c r="I153" s="17">
        <f t="shared" si="28"/>
        <v>150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500</v>
      </c>
      <c r="I158" s="17">
        <f t="shared" ref="I158:I163" si="30">G158-H158</f>
        <v>100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400</v>
      </c>
      <c r="I160" s="17">
        <f t="shared" si="30"/>
        <v>200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/>
      <c r="I161" s="17">
        <f t="shared" si="30"/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369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/>
      <c r="I163" s="17">
        <f t="shared" si="30"/>
        <v>600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369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>
      <c r="A165" s="15" t="s">
        <v>369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>
      <c r="A166" s="15"/>
      <c r="B166" s="16"/>
      <c r="C166" s="17"/>
      <c r="D166" s="17"/>
      <c r="E166" s="17"/>
      <c r="F166" s="17"/>
      <c r="G166" s="17">
        <f>F166*E166</f>
        <v>0</v>
      </c>
      <c r="H166" s="17"/>
      <c r="I166" s="17">
        <f>G166-H166</f>
        <v>0</v>
      </c>
      <c r="J166" s="17"/>
      <c r="K166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D68" sqref="D6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 t="s">
        <v>368</v>
      </c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 hidden="1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 hidden="1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 hidden="1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 hidden="1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 hidden="1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 hidden="1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 hidden="1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 hidden="1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 hidden="1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 hidden="1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 hidden="1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 hidden="1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 hidden="1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 hidden="1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 hidden="1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 hidden="1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 hidden="1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 hidden="1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 hidden="1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 hidden="1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 hidden="1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 hidden="1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 hidden="1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 hidden="1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 hidden="1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 hidden="1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 hidden="1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 hidden="1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 hidden="1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 hidden="1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 hidden="1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 hidden="1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 hidden="1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 hidden="1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 hidden="1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 hidden="1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 hidden="1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 hidden="1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 hidden="1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 hidden="1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 hidden="1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 hidden="1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 hidden="1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 hidden="1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 hidden="1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 hidden="1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 hidden="1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 hidden="1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 hidden="1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 hidden="1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 hidden="1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 hidden="1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 hidden="1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 hidden="1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 hidden="1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 hidden="1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 hidden="1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 hidden="1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 hidden="1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 hidden="1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 hidden="1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 hidden="1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 hidden="1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 hidden="1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 hidden="1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 hidden="1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 hidden="1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 hidden="1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 hidden="1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 hidden="1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 hidden="1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 hidden="1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 hidden="1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 hidden="1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 hidden="1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 hidden="1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 hidden="1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 hidden="1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 hidden="1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 hidden="1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 hidden="1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 hidden="1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 hidden="1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 hidden="1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 hidden="1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 hidden="1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 hidden="1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 hidden="1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 hidden="1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 hidden="1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 hidden="1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 hidden="1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 hidden="1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 hidden="1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 hidden="1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 hidden="1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 hidden="1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 hidden="1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 hidden="1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 hidden="1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 hidden="1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 hidden="1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 hidden="1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 hidden="1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 hidden="1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 hidden="1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 hidden="1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 hidden="1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 hidden="1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 hidden="1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 hidden="1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 hidden="1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 hidden="1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 hidden="1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 hidden="1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 hidden="1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 hidden="1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 hidden="1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 hidden="1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 hidden="1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 hidden="1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 hidden="1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 hidden="1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 hidden="1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 hidden="1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 hidden="1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 hidden="1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 hidden="1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 hidden="1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 hidden="1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 hidden="1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 hidden="1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 hidden="1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 hidden="1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 hidden="1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 hidden="1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 hidden="1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 hidden="1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 hidden="1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 hidden="1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 hidden="1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 hidden="1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 hidden="1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 hidden="1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 hidden="1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 hidden="1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 hidden="1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 hidden="1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 hidden="1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 hidden="1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 hidden="1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 hidden="1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 hidden="1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 hidden="1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 hidden="1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 hidden="1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 hidden="1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 hidden="1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 hidden="1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 hidden="1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 hidden="1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 hidden="1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 hidden="1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 hidden="1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 hidden="1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 hidden="1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 hidden="1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 hidden="1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 hidden="1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 hidden="1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 hidden="1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 hidden="1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 hidden="1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 hidden="1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 hidden="1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 hidden="1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 hidden="1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 hidden="1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 hidden="1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 hidden="1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 hidden="1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 hidden="1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 hidden="1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 hidden="1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 hidden="1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 hidden="1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 hidden="1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 hidden="1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 hidden="1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 hidden="1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 hidden="1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 hidden="1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 hidden="1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 hidden="1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 hidden="1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 hidden="1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 hidden="1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 hidden="1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 hidden="1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 hidden="1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 hidden="1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 hidden="1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 hidden="1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 hidden="1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 hidden="1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 hidden="1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 hidden="1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 hidden="1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 hidden="1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 hidden="1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 hidden="1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 hidden="1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 hidden="1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 hidden="1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 hidden="1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 hidden="1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 hidden="1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 hidden="1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 hidden="1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 hidden="1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 hidden="1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 hidden="1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1" t="s">
        <v>232</v>
      </c>
      <c r="B1" s="62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4" workbookViewId="0">
      <selection activeCell="A33" sqref="A33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63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63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63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C8" s="63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63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63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63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63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63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63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63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63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63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63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63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63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63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63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63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63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C25" s="63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63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63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C28" s="63"/>
      <c r="I28" s="52"/>
      <c r="J28" s="52"/>
      <c r="K28" s="53"/>
    </row>
    <row r="29" spans="1:12">
      <c r="C29" s="63"/>
      <c r="I29" s="52"/>
      <c r="J29" s="52"/>
      <c r="K29" s="53"/>
    </row>
    <row r="30" spans="1:12">
      <c r="I30" s="52"/>
    </row>
    <row r="31" spans="1:12">
      <c r="I31" s="52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2021-02-18T08:14:19Z</dcterms:modified>
</cp:coreProperties>
</file>