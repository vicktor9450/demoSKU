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F758AD88-C8D4-8D4A-B7BD-1F1E0F847D4E}" xr6:coauthVersionLast="45" xr6:coauthVersionMax="45" xr10:uidLastSave="{00000000-0000-0000-0000-000000000000}"/>
  <bookViews>
    <workbookView xWindow="0" yWindow="0" windowWidth="25600" windowHeight="14400" activeTab="1" xr2:uid="{00000000-000D-0000-FFFF-FFFF00000000}"/>
  </bookViews>
  <sheets>
    <sheet name="PaperSummary" sheetId="22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110" i="2" l="1"/>
  <c r="I110" i="2" s="1"/>
  <c r="K110" i="2"/>
  <c r="G109" i="2" l="1"/>
  <c r="I109" i="2" s="1"/>
  <c r="K109" i="2"/>
  <c r="G108" i="2"/>
  <c r="I108" i="2" s="1"/>
  <c r="K108" i="2"/>
  <c r="I3" i="2"/>
  <c r="G107" i="2" l="1"/>
  <c r="I107" i="2" s="1"/>
  <c r="K107" i="2"/>
  <c r="G103" i="2" l="1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F3" i="3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<sst xmlns="http://schemas.openxmlformats.org/spreadsheetml/2006/main" count="851" uniqueCount="298">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</sst>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33.476726967594" createdVersion="3" refreshedVersion="6" minRefreshableVersion="3" recordCount="104" xr:uid="{D010BD37-6AD6-A542-932D-14BF877A3811}">
  <cacheSource type="worksheet">
    <worksheetSource ref="A5:K109" sheet="Paper"/>
  </cacheSource>
  <cacheFields count="11">
    <cacheField name="Arrival" numFmtId="49">
      <sharedItems count="3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6">
        <n v="600"/>
        <n v="550"/>
        <m/>
        <n v="500"/>
        <n v="100"/>
        <n v="570"/>
        <n v="180"/>
        <n v="70"/>
        <n v="300"/>
        <n v="480"/>
        <n v="580"/>
        <n v="585"/>
        <n v="380"/>
        <n v="590"/>
        <n v="400"/>
        <n v="10"/>
      </sharedItems>
    </cacheField>
    <cacheField name="Remaining" numFmtId="0">
      <sharedItems containsSemiMixedTypes="0" containsString="0" containsNumber="1" containsInteger="1" minValue="0" maxValue="1200" count="20">
        <n v="0"/>
        <n v="5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10"/>
        <n v="290"/>
        <n v="220"/>
        <n v="3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1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3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7"/>
    <x v="0"/>
    <x v="13"/>
  </r>
  <r>
    <x v="12"/>
    <x v="2"/>
    <x v="5"/>
    <x v="1"/>
    <x v="0"/>
    <x v="0"/>
    <x v="0"/>
    <x v="5"/>
    <x v="8"/>
    <x v="2"/>
    <x v="6"/>
  </r>
  <r>
    <x v="12"/>
    <x v="3"/>
    <x v="3"/>
    <x v="1"/>
    <x v="2"/>
    <x v="0"/>
    <x v="3"/>
    <x v="6"/>
    <x v="9"/>
    <x v="0"/>
    <x v="13"/>
  </r>
  <r>
    <x v="12"/>
    <x v="3"/>
    <x v="3"/>
    <x v="1"/>
    <x v="2"/>
    <x v="0"/>
    <x v="3"/>
    <x v="7"/>
    <x v="10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3"/>
    <x v="2"/>
    <x v="15"/>
  </r>
  <r>
    <x v="12"/>
    <x v="0"/>
    <x v="3"/>
    <x v="1"/>
    <x v="0"/>
    <x v="0"/>
    <x v="0"/>
    <x v="9"/>
    <x v="11"/>
    <x v="1"/>
    <x v="4"/>
  </r>
  <r>
    <x v="12"/>
    <x v="1"/>
    <x v="3"/>
    <x v="1"/>
    <x v="0"/>
    <x v="0"/>
    <x v="0"/>
    <x v="3"/>
    <x v="3"/>
    <x v="1"/>
    <x v="16"/>
  </r>
  <r>
    <x v="12"/>
    <x v="1"/>
    <x v="3"/>
    <x v="1"/>
    <x v="0"/>
    <x v="0"/>
    <x v="0"/>
    <x v="9"/>
    <x v="11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9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0"/>
    <x v="9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7"/>
    <x v="1"/>
    <x v="21"/>
  </r>
  <r>
    <x v="12"/>
    <x v="7"/>
    <x v="12"/>
    <x v="1"/>
    <x v="3"/>
    <x v="0"/>
    <x v="4"/>
    <x v="2"/>
    <x v="3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9"/>
    <x v="2"/>
    <x v="23"/>
  </r>
  <r>
    <x v="12"/>
    <x v="6"/>
    <x v="12"/>
    <x v="1"/>
    <x v="2"/>
    <x v="0"/>
    <x v="3"/>
    <x v="2"/>
    <x v="7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3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14"/>
    <x v="7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9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14"/>
    <x v="3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2"/>
    <x v="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2"/>
    <x v="18"/>
    <x v="0"/>
    <x v="9"/>
  </r>
  <r>
    <x v="33"/>
    <x v="2"/>
    <x v="3"/>
    <x v="1"/>
    <x v="0"/>
    <x v="0"/>
    <x v="0"/>
    <x v="2"/>
    <x v="2"/>
    <x v="0"/>
    <x v="14"/>
  </r>
  <r>
    <x v="34"/>
    <x v="0"/>
    <x v="7"/>
    <x v="1"/>
    <x v="0"/>
    <x v="0"/>
    <x v="0"/>
    <x v="2"/>
    <x v="2"/>
    <x v="0"/>
    <x v="8"/>
  </r>
  <r>
    <x v="34"/>
    <x v="0"/>
    <x v="7"/>
    <x v="1"/>
    <x v="0"/>
    <x v="0"/>
    <x v="0"/>
    <x v="3"/>
    <x v="3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2"/>
    <x v="2"/>
    <x v="0"/>
    <x v="0"/>
  </r>
  <r>
    <x v="35"/>
    <x v="0"/>
    <x v="7"/>
    <x v="1"/>
    <x v="0"/>
    <x v="0"/>
    <x v="0"/>
    <x v="2"/>
    <x v="2"/>
    <x v="0"/>
    <x v="8"/>
  </r>
  <r>
    <x v="36"/>
    <x v="11"/>
    <x v="12"/>
    <x v="1"/>
    <x v="7"/>
    <x v="0"/>
    <x v="8"/>
    <x v="2"/>
    <x v="5"/>
    <x v="0"/>
    <x v="30"/>
  </r>
  <r>
    <x v="37"/>
    <x v="11"/>
    <x v="12"/>
    <x v="1"/>
    <x v="7"/>
    <x v="0"/>
    <x v="8"/>
    <x v="2"/>
    <x v="5"/>
    <x v="0"/>
    <x v="30"/>
  </r>
  <r>
    <x v="37"/>
    <x v="11"/>
    <x v="12"/>
    <x v="1"/>
    <x v="8"/>
    <x v="0"/>
    <x v="9"/>
    <x v="2"/>
    <x v="19"/>
    <x v="0"/>
    <x v="30"/>
  </r>
  <r>
    <x v="37"/>
    <x v="11"/>
    <x v="12"/>
    <x v="1"/>
    <x v="8"/>
    <x v="0"/>
    <x v="9"/>
    <x v="2"/>
    <x v="19"/>
    <x v="0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71AF4-5D97-AE4D-9328-FA480F1E977C}" name="PaperPivotTable" cacheId="1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8">
        <item x="31"/>
        <item x="32"/>
        <item x="30"/>
        <item x="33"/>
        <item x="34"/>
        <item x="35"/>
        <item x="36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6">
        <item x="15"/>
        <item x="7"/>
        <item x="4"/>
        <item x="6"/>
        <item x="8"/>
        <item x="12"/>
        <item x="14"/>
        <item x="9"/>
        <item x="3"/>
        <item x="1"/>
        <item x="5"/>
        <item x="10"/>
        <item x="11"/>
        <item x="13"/>
        <item x="0"/>
        <item x="2"/>
      </items>
    </pivotField>
    <pivotField dataField="1" showAll="0" defaultSubtotal="0">
      <items count="20">
        <item x="0"/>
        <item x="16"/>
        <item x="14"/>
        <item x="9"/>
        <item x="8"/>
        <item x="1"/>
        <item x="12"/>
        <item x="15"/>
        <item x="3"/>
        <item x="11"/>
        <item x="10"/>
        <item x="7"/>
        <item x="18"/>
        <item x="17"/>
        <item x="6"/>
        <item x="19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1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0" headerRowDxfId="33" dataDxfId="32" totalsRowDxfId="31">
  <autoFilter ref="A5:K110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3BA6E-8FFD-C64B-AF3F-09BD953A0B32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0" sqref="B20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 ht="46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295</v>
      </c>
      <c r="C14" s="6"/>
      <c r="D14" s="6"/>
      <c r="E14" s="6">
        <v>1700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600</v>
      </c>
      <c r="M15" s="6"/>
      <c r="N15" s="6">
        <v>700</v>
      </c>
      <c r="O15" s="6">
        <v>220</v>
      </c>
      <c r="P15" s="6"/>
      <c r="Q15" s="6">
        <v>2500</v>
      </c>
      <c r="R15" s="6"/>
      <c r="S15" s="6">
        <v>700</v>
      </c>
      <c r="T15" s="6">
        <v>650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0"/>
  <sheetViews>
    <sheetView tabSelected="1" zoomScale="107" zoomScaleNormal="107" workbookViewId="0">
      <pane ySplit="5" topLeftCell="A65" activePane="bottomLeft" state="frozen"/>
      <selection pane="bottomLeft" activeCell="H111" sqref="H11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297</v>
      </c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44132.870648148149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6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500</v>
      </c>
      <c r="I9" s="17">
        <f t="shared" si="1"/>
        <v>100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100</v>
      </c>
      <c r="I13" s="17">
        <f t="shared" si="1"/>
        <v>500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276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271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270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270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270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273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273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273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277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279</v>
      </c>
      <c r="B81" s="19" t="s">
        <v>280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279</v>
      </c>
      <c r="B82" s="19" t="s">
        <v>280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278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278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600</v>
      </c>
      <c r="I84" s="17">
        <f t="shared" si="13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281</v>
      </c>
      <c r="B85" s="19" t="s">
        <v>282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283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285</v>
      </c>
      <c r="B87" s="19" t="s">
        <v>286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600</v>
      </c>
      <c r="I87" s="17">
        <f t="shared" si="15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285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 hidden="1">
      <c r="A89" s="15" t="s">
        <v>285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 hidden="1">
      <c r="A90" s="15" t="s">
        <v>287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>
        <v>10</v>
      </c>
      <c r="I90" s="17">
        <f t="shared" si="15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 hidden="1">
      <c r="A91" s="15" t="s">
        <v>288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>
        <v>600</v>
      </c>
      <c r="I91" s="17">
        <f t="shared" si="15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289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 hidden="1">
      <c r="A93" s="15" t="s">
        <v>289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 hidden="1">
      <c r="A94" s="15" t="s">
        <v>288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>
        <v>400</v>
      </c>
      <c r="I94" s="17">
        <f t="shared" si="15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 hidden="1">
      <c r="A95" s="15" t="s">
        <v>291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14"/>
        <v>600</v>
      </c>
      <c r="H95" s="17">
        <v>600</v>
      </c>
      <c r="I95" s="17">
        <f t="shared" si="15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 hidden="1">
      <c r="A96" s="15" t="s">
        <v>291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6">F96*E96</f>
        <v>600</v>
      </c>
      <c r="H96" s="17"/>
      <c r="I96" s="17">
        <f t="shared" ref="I96:I101" si="17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 hidden="1">
      <c r="A97" s="15" t="s">
        <v>291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6"/>
        <v>600</v>
      </c>
      <c r="H97" s="17"/>
      <c r="I97" s="17">
        <f t="shared" si="17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291</v>
      </c>
      <c r="B98" s="19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6"/>
        <v>600</v>
      </c>
      <c r="H98" s="17">
        <v>600</v>
      </c>
      <c r="I98" s="17">
        <f t="shared" si="17"/>
        <v>0</v>
      </c>
      <c r="J98" s="18"/>
      <c r="K98" s="20" t="str">
        <f>CONCATENATE(Table2[[#This Row],[Specs]],Table2[[#This Row],[Width]],Table2[[#This Row],[Slitting]])</f>
        <v>y ユポ80 MDN 8GB165</v>
      </c>
    </row>
    <row r="99" spans="1:11" hidden="1">
      <c r="A99" s="15" t="s">
        <v>291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6"/>
        <v>600</v>
      </c>
      <c r="H99" s="17">
        <v>380</v>
      </c>
      <c r="I99" s="17">
        <f t="shared" si="17"/>
        <v>220</v>
      </c>
      <c r="J99" s="18"/>
      <c r="K99" s="20" t="str">
        <f>CONCATENATE(Table2[[#This Row],[Specs]],Table2[[#This Row],[Width]],Table2[[#This Row],[Slitting]])</f>
        <v>y ユポ80 MDN 8GB155</v>
      </c>
    </row>
    <row r="100" spans="1:11" hidden="1">
      <c r="A100" s="15" t="s">
        <v>291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6"/>
        <v>600</v>
      </c>
      <c r="H100" s="17"/>
      <c r="I100" s="17">
        <f t="shared" si="17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292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6"/>
        <v>600</v>
      </c>
      <c r="H101" s="17"/>
      <c r="I101" s="17">
        <f t="shared" si="17"/>
        <v>600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8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ref="G102:G107" si="18">F102*E102</f>
        <v>600</v>
      </c>
      <c r="H102" s="17">
        <v>500</v>
      </c>
      <c r="I102" s="17">
        <f t="shared" ref="I102:I107" si="19">G102-H102</f>
        <v>100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293</v>
      </c>
      <c r="B103" s="19" t="s">
        <v>253</v>
      </c>
      <c r="C103" s="17">
        <v>165</v>
      </c>
      <c r="D103" s="17"/>
      <c r="E103" s="17">
        <v>600</v>
      </c>
      <c r="F103" s="17">
        <v>1</v>
      </c>
      <c r="G103" s="17">
        <f t="shared" si="18"/>
        <v>600</v>
      </c>
      <c r="H103" s="17">
        <v>600</v>
      </c>
      <c r="I103" s="17">
        <f t="shared" si="19"/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 hidden="1">
      <c r="A104" s="15" t="s">
        <v>293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 t="shared" si="18"/>
        <v>600</v>
      </c>
      <c r="H104" s="17"/>
      <c r="I104" s="17">
        <f t="shared" si="19"/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293</v>
      </c>
      <c r="B105" s="16" t="s">
        <v>253</v>
      </c>
      <c r="C105" s="17">
        <v>165</v>
      </c>
      <c r="D105" s="17"/>
      <c r="E105" s="17">
        <v>600</v>
      </c>
      <c r="F105" s="17">
        <v>1</v>
      </c>
      <c r="G105" s="17">
        <f t="shared" si="18"/>
        <v>600</v>
      </c>
      <c r="H105" s="17">
        <v>250</v>
      </c>
      <c r="I105" s="17">
        <f t="shared" si="19"/>
        <v>350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 hidden="1">
      <c r="A106" s="15" t="s">
        <v>294</v>
      </c>
      <c r="B106" s="16" t="s">
        <v>295</v>
      </c>
      <c r="C106" s="17">
        <v>100</v>
      </c>
      <c r="D106" s="17"/>
      <c r="E106" s="17">
        <v>500</v>
      </c>
      <c r="F106" s="17">
        <v>1</v>
      </c>
      <c r="G106" s="17">
        <f t="shared" si="18"/>
        <v>500</v>
      </c>
      <c r="H106" s="17"/>
      <c r="I106" s="17">
        <f t="shared" si="19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296</v>
      </c>
      <c r="B107" s="16" t="s">
        <v>295</v>
      </c>
      <c r="C107" s="17">
        <v>100</v>
      </c>
      <c r="D107" s="17"/>
      <c r="E107" s="17">
        <v>500</v>
      </c>
      <c r="F107" s="17">
        <v>1</v>
      </c>
      <c r="G107" s="17">
        <f t="shared" si="18"/>
        <v>500</v>
      </c>
      <c r="H107" s="17"/>
      <c r="I107" s="17">
        <f t="shared" si="19"/>
        <v>500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296</v>
      </c>
      <c r="B108" s="16" t="s">
        <v>295</v>
      </c>
      <c r="C108" s="17">
        <v>100</v>
      </c>
      <c r="D108" s="17"/>
      <c r="E108" s="17">
        <v>350</v>
      </c>
      <c r="F108" s="17">
        <v>1</v>
      </c>
      <c r="G108" s="17">
        <f>F108*E108</f>
        <v>350</v>
      </c>
      <c r="H108" s="17"/>
      <c r="I108" s="17">
        <f>G108-H108</f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296</v>
      </c>
      <c r="B109" s="16" t="s">
        <v>295</v>
      </c>
      <c r="C109" s="17">
        <v>100</v>
      </c>
      <c r="D109" s="17"/>
      <c r="E109" s="17">
        <v>350</v>
      </c>
      <c r="F109" s="17">
        <v>1</v>
      </c>
      <c r="G109" s="17">
        <f>F109*E109</f>
        <v>350</v>
      </c>
      <c r="H109" s="17"/>
      <c r="I109" s="17">
        <f>G109-H109</f>
        <v>350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 hidden="1">
      <c r="A110" s="15" t="s">
        <v>296</v>
      </c>
      <c r="B110" s="16" t="s">
        <v>295</v>
      </c>
      <c r="C110" s="17">
        <v>100</v>
      </c>
      <c r="D110" s="17"/>
      <c r="E110" s="17">
        <v>350</v>
      </c>
      <c r="F110" s="17">
        <v>1</v>
      </c>
      <c r="G110" s="17">
        <f>F110*E110</f>
        <v>350</v>
      </c>
      <c r="H110" s="17">
        <v>250</v>
      </c>
      <c r="I110" s="17">
        <f>G110-H110</f>
        <v>100</v>
      </c>
      <c r="J110" s="18"/>
      <c r="K110" s="20" t="str">
        <f>CONCATENATE(Table2[[#This Row],[Specs]],Table2[[#This Row],[Width]],Table2[[#This Row],[Slitting]])</f>
        <v>SLアートN/P91/g7B100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0" activePane="bottomLeft" state="frozen"/>
      <selection pane="bottomLeft" activeCell="E216" sqref="E21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44126.782905092594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290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269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275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284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284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284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274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272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2020-10-29T07:28:38Z</dcterms:modified>
</cp:coreProperties>
</file>