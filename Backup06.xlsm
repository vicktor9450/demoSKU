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C9E659D5-8063-DA43-9AE0-B520EA95D265}" xr6:coauthVersionLast="45" xr6:coauthVersionMax="45" xr10:uidLastSave="{00000000-0000-0000-0000-000000000000}"/>
  <bookViews>
    <workbookView xWindow="0" yWindow="460" windowWidth="51200" windowHeight="26740" xr2:uid="{00000000-000D-0000-FFFF-FFFF00000000}"/>
  </bookViews>
  <sheets>
    <sheet name="PaperSummary" sheetId="247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Paper!$A$5:$J$128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6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8" i="2" l="1"/>
  <c r="I128" i="2" s="1"/>
  <c r="K128" i="2"/>
  <c r="G127" i="2"/>
  <c r="I127" i="2" s="1"/>
  <c r="K127" i="2"/>
  <c r="G126" i="2"/>
  <c r="I126" i="2" s="1"/>
  <c r="K126" i="2"/>
  <c r="G125" i="2"/>
  <c r="I125" i="2" s="1"/>
  <c r="K125" i="2"/>
  <c r="G124" i="2" l="1"/>
  <c r="I124" i="2" s="1"/>
  <c r="K124" i="2"/>
  <c r="G123" i="2"/>
  <c r="I123" i="2" s="1"/>
  <c r="K123" i="2"/>
  <c r="G122" i="2"/>
  <c r="I122" i="2" s="1"/>
  <c r="K122" i="2"/>
  <c r="G121" i="2"/>
  <c r="I121" i="2" s="1"/>
  <c r="K121" i="2"/>
  <c r="I3" i="2"/>
  <c r="F3" i="3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<sst xmlns="http://schemas.openxmlformats.org/spreadsheetml/2006/main" count="887" uniqueCount="307">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</sst>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19" fillId="0" borderId="15" xfId="0" applyNumberFormat="1" applyFont="1" applyBorder="1" applyAlignment="1">
      <alignment vertical="center"/>
    </xf>
    <xf numFmtId="0" fontId="20" fillId="0" borderId="16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8" fillId="0" borderId="11" xfId="0" applyNumberFormat="1" applyFont="1" applyBorder="1" applyAlignment="1">
      <alignment horizontal="right" vertical="center"/>
    </xf>
    <xf numFmtId="166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7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72.707801504628" createdVersion="3" refreshedVersion="6" minRefreshableVersion="3" recordCount="122" xr:uid="{CD72967C-10DE-EF48-8F2F-B02E8ABD4708}">
  <cacheSource type="worksheet">
    <worksheetSource ref="A5:K127" sheet="Paper"/>
  </cacheSource>
  <cacheFields count="11">
    <cacheField name="Arrival" numFmtId="49">
      <sharedItems count="4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</sharedItems>
    </cacheField>
    <cacheField name="Width" numFmtId="0">
      <sharedItems containsSemiMixedTypes="0" containsString="0" containsNumber="1" containsInteger="1" minValue="40" maxValue="220" count="18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9">
        <n v="600"/>
        <n v="300"/>
        <n v="200"/>
        <n v="100"/>
        <n v="60"/>
        <n v="400"/>
        <n v="80"/>
        <n v="500"/>
        <n v="35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0">
        <n v="600"/>
        <n v="1200"/>
        <n v="300"/>
        <n v="200"/>
        <n v="100"/>
        <n v="60"/>
        <n v="400"/>
        <n v="80"/>
        <n v="500"/>
        <n v="350"/>
      </sharedItems>
    </cacheField>
    <cacheField name="Used" numFmtId="0">
      <sharedItems containsString="0" containsBlank="1" containsNumber="1" containsInteger="1" minValue="10" maxValue="600" count="19">
        <n v="600"/>
        <m/>
        <n v="400"/>
        <n v="500"/>
        <n v="570"/>
        <n v="180"/>
        <n v="70"/>
        <n v="300"/>
        <n v="480"/>
        <n v="580"/>
        <n v="585"/>
        <n v="380"/>
        <n v="550"/>
        <n v="10"/>
        <n v="200"/>
        <n v="450"/>
        <n v="250"/>
        <n v="80"/>
        <n v="10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00"/>
        <n v="1200"/>
        <n v="300"/>
        <n v="200"/>
        <n v="30"/>
        <n v="20"/>
        <n v="130"/>
        <n v="120"/>
        <n v="60"/>
        <n v="400"/>
        <n v="15"/>
        <n v="80"/>
        <n v="50"/>
        <n v="290"/>
        <n v="15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3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2"/>
    <x v="2"/>
    <x v="0"/>
    <x v="1"/>
  </r>
  <r>
    <x v="8"/>
    <x v="2"/>
    <x v="5"/>
    <x v="1"/>
    <x v="0"/>
    <x v="1"/>
    <x v="1"/>
    <x v="1"/>
    <x v="3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2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2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4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2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2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4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2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2"/>
    <x v="14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12"/>
    <x v="14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3"/>
    <x v="2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2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4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15"/>
    <x v="16"/>
    <x v="0"/>
    <x v="9"/>
  </r>
  <r>
    <x v="33"/>
    <x v="2"/>
    <x v="3"/>
    <x v="1"/>
    <x v="0"/>
    <x v="0"/>
    <x v="0"/>
    <x v="3"/>
    <x v="2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"/>
    <x v="1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7"/>
    <x v="0"/>
    <x v="30"/>
  </r>
  <r>
    <x v="37"/>
    <x v="11"/>
    <x v="12"/>
    <x v="1"/>
    <x v="7"/>
    <x v="0"/>
    <x v="8"/>
    <x v="1"/>
    <x v="17"/>
    <x v="0"/>
    <x v="30"/>
  </r>
  <r>
    <x v="37"/>
    <x v="11"/>
    <x v="12"/>
    <x v="1"/>
    <x v="8"/>
    <x v="0"/>
    <x v="9"/>
    <x v="1"/>
    <x v="18"/>
    <x v="0"/>
    <x v="30"/>
  </r>
  <r>
    <x v="37"/>
    <x v="11"/>
    <x v="12"/>
    <x v="1"/>
    <x v="8"/>
    <x v="0"/>
    <x v="9"/>
    <x v="1"/>
    <x v="18"/>
    <x v="0"/>
    <x v="30"/>
  </r>
  <r>
    <x v="37"/>
    <x v="11"/>
    <x v="12"/>
    <x v="1"/>
    <x v="8"/>
    <x v="0"/>
    <x v="9"/>
    <x v="16"/>
    <x v="2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7"/>
    <x v="19"/>
    <x v="0"/>
    <x v="32"/>
  </r>
  <r>
    <x v="39"/>
    <x v="0"/>
    <x v="0"/>
    <x v="0"/>
    <x v="0"/>
    <x v="0"/>
    <x v="0"/>
    <x v="18"/>
    <x v="17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2"/>
    <x v="1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12"/>
    <x v="14"/>
    <x v="0"/>
    <x v="8"/>
  </r>
  <r>
    <x v="41"/>
    <x v="0"/>
    <x v="7"/>
    <x v="1"/>
    <x v="0"/>
    <x v="0"/>
    <x v="0"/>
    <x v="1"/>
    <x v="1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1"/>
    <x v="1"/>
    <x v="0"/>
    <x v="10"/>
  </r>
  <r>
    <x v="42"/>
    <x v="0"/>
    <x v="4"/>
    <x v="1"/>
    <x v="0"/>
    <x v="0"/>
    <x v="0"/>
    <x v="1"/>
    <x v="1"/>
    <x v="0"/>
    <x v="9"/>
  </r>
  <r>
    <x v="43"/>
    <x v="0"/>
    <x v="7"/>
    <x v="1"/>
    <x v="0"/>
    <x v="0"/>
    <x v="0"/>
    <x v="1"/>
    <x v="1"/>
    <x v="0"/>
    <x v="8"/>
  </r>
  <r>
    <x v="43"/>
    <x v="0"/>
    <x v="7"/>
    <x v="1"/>
    <x v="0"/>
    <x v="0"/>
    <x v="0"/>
    <x v="1"/>
    <x v="1"/>
    <x v="0"/>
    <x v="8"/>
  </r>
  <r>
    <x v="44"/>
    <x v="0"/>
    <x v="8"/>
    <x v="1"/>
    <x v="0"/>
    <x v="0"/>
    <x v="0"/>
    <x v="1"/>
    <x v="1"/>
    <x v="0"/>
    <x v="12"/>
  </r>
  <r>
    <x v="45"/>
    <x v="2"/>
    <x v="8"/>
    <x v="1"/>
    <x v="7"/>
    <x v="0"/>
    <x v="8"/>
    <x v="1"/>
    <x v="17"/>
    <x v="0"/>
    <x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55B606-ACB5-F945-BEAC-A965FB6EA622}" name="PaperPivotTable" cacheId="26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X16" firstHeaderRow="1" firstDataRow="3" firstDataCol="1"/>
  <pivotFields count="11">
    <pivotField showAll="0" defaultSubtotal="0">
      <items count="46">
        <item x="31"/>
        <item x="32"/>
        <item x="30"/>
        <item x="33"/>
        <item x="34"/>
        <item x="35"/>
        <item x="36"/>
        <item x="39"/>
        <item x="29"/>
        <item x="38"/>
        <item x="40"/>
        <item x="41"/>
        <item x="42"/>
        <item x="43"/>
        <item x="44"/>
        <item x="45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11"/>
        <item x="0"/>
        <item x="9"/>
      </items>
    </pivotField>
    <pivotField axis="axisCol" showAll="0" defaultSubtotal="0">
      <items count="18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9">
        <item x="4"/>
        <item x="6"/>
        <item x="3"/>
        <item x="2"/>
        <item x="1"/>
        <item x="8"/>
        <item x="5"/>
        <item x="7"/>
        <item x="0"/>
      </items>
    </pivotField>
    <pivotField showAll="0" defaultSubtotal="0">
      <items count="2">
        <item x="0"/>
        <item x="1"/>
      </items>
    </pivotField>
    <pivotField showAll="0" defaultSubtotal="0">
      <items count="10">
        <item x="5"/>
        <item x="7"/>
        <item x="4"/>
        <item x="3"/>
        <item x="2"/>
        <item x="9"/>
        <item x="6"/>
        <item x="8"/>
        <item x="0"/>
        <item x="1"/>
      </items>
    </pivotField>
    <pivotField showAll="0" defaultSubtotal="0">
      <items count="19">
        <item x="13"/>
        <item x="6"/>
        <item x="17"/>
        <item x="18"/>
        <item x="5"/>
        <item x="14"/>
        <item x="16"/>
        <item x="7"/>
        <item x="11"/>
        <item x="2"/>
        <item x="15"/>
        <item x="8"/>
        <item x="3"/>
        <item x="12"/>
        <item x="4"/>
        <item x="9"/>
        <item x="10"/>
        <item x="0"/>
        <item x="1"/>
      </items>
    </pivotField>
    <pivotField dataField="1" showAll="0" defaultSubtotal="0">
      <items count="20">
        <item x="0"/>
        <item x="12"/>
        <item x="7"/>
        <item x="6"/>
        <item x="14"/>
        <item x="10"/>
        <item x="13"/>
        <item x="2"/>
        <item x="9"/>
        <item x="8"/>
        <item x="16"/>
        <item x="5"/>
        <item x="15"/>
        <item x="4"/>
        <item x="18"/>
        <item x="11"/>
        <item x="17"/>
        <item x="19"/>
        <item x="1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3">
        <item x="17"/>
        <item x="22"/>
        <item x="32"/>
        <item x="25"/>
        <item x="31"/>
        <item x="11"/>
        <item x="3"/>
        <item x="15"/>
        <item x="16"/>
        <item x="21"/>
        <item x="23"/>
        <item x="29"/>
        <item x="6"/>
        <item x="28"/>
        <item x="14"/>
        <item x="19"/>
        <item x="13"/>
        <item x="30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2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28" headerRowDxfId="39" dataDxfId="38" totalsRowDxfId="37">
  <autoFilter ref="A5:K128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96A73-1DE0-8C45-AFFE-6B90D3D7FD53}">
  <dimension ref="B1:X1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4" width="5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11.8984375" bestFit="1" customWidth="1"/>
  </cols>
  <sheetData>
    <row r="1" spans="2:24" ht="7.5" customHeight="1"/>
    <row r="2" spans="2:24">
      <c r="B2" s="7" t="s">
        <v>201</v>
      </c>
      <c r="C2" s="7" t="s">
        <v>197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</row>
    <row r="3" spans="2:24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  <c r="X3" s="53">
        <v>220</v>
      </c>
    </row>
    <row r="4" spans="2:24">
      <c r="B4" s="7" t="s">
        <v>0</v>
      </c>
      <c r="C4" s="53" t="s">
        <v>257</v>
      </c>
      <c r="D4" s="53" t="s">
        <v>257</v>
      </c>
      <c r="E4" s="53" t="s">
        <v>257</v>
      </c>
      <c r="F4" s="53" t="s">
        <v>257</v>
      </c>
      <c r="G4" s="53" t="s">
        <v>257</v>
      </c>
      <c r="H4" s="53" t="s">
        <v>267</v>
      </c>
      <c r="I4" s="53" t="s">
        <v>257</v>
      </c>
      <c r="J4" s="53" t="s">
        <v>257</v>
      </c>
      <c r="K4" s="53" t="s">
        <v>257</v>
      </c>
      <c r="L4" s="53" t="s">
        <v>257</v>
      </c>
      <c r="M4" s="53" t="s">
        <v>257</v>
      </c>
      <c r="N4" s="53" t="s">
        <v>267</v>
      </c>
      <c r="O4" s="53" t="s">
        <v>257</v>
      </c>
      <c r="P4" s="53" t="s">
        <v>257</v>
      </c>
      <c r="Q4" s="53" t="s">
        <v>257</v>
      </c>
      <c r="R4" s="53" t="s">
        <v>257</v>
      </c>
      <c r="S4" s="53" t="s">
        <v>267</v>
      </c>
      <c r="T4" s="53" t="s">
        <v>257</v>
      </c>
      <c r="U4" s="53" t="s">
        <v>267</v>
      </c>
      <c r="V4" s="53" t="s">
        <v>257</v>
      </c>
      <c r="W4" s="53" t="s">
        <v>257</v>
      </c>
      <c r="X4" s="53" t="s">
        <v>257</v>
      </c>
    </row>
    <row r="5" spans="2:24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</row>
    <row r="6" spans="2:24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2:24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</row>
    <row r="8" spans="2:24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</row>
    <row r="9" spans="2:24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2:24">
      <c r="B10" s="5" t="s">
        <v>230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</row>
    <row r="11" spans="2:24">
      <c r="B11" s="5" t="s">
        <v>231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  <c r="X11" s="6">
        <v>100</v>
      </c>
    </row>
    <row r="12" spans="2:24">
      <c r="B12" s="5" t="s">
        <v>12</v>
      </c>
      <c r="C12" s="6"/>
      <c r="D12" s="6">
        <v>1100</v>
      </c>
      <c r="E12" s="6"/>
      <c r="F12" s="6"/>
      <c r="G12" s="6"/>
      <c r="H12" s="6"/>
      <c r="I12" s="6"/>
      <c r="J12" s="6">
        <v>1230</v>
      </c>
      <c r="K12" s="6"/>
      <c r="L12" s="6">
        <v>790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</row>
    <row r="13" spans="2:24">
      <c r="B13" s="5" t="s">
        <v>209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2:24">
      <c r="B14" s="5" t="s">
        <v>294</v>
      </c>
      <c r="C14" s="6"/>
      <c r="D14" s="6"/>
      <c r="E14" s="6">
        <v>1800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</row>
    <row r="15" spans="2:24">
      <c r="B15" s="5" t="s">
        <v>253</v>
      </c>
      <c r="C15" s="6"/>
      <c r="D15" s="6">
        <v>1620</v>
      </c>
      <c r="E15" s="6"/>
      <c r="F15" s="6">
        <v>50</v>
      </c>
      <c r="G15" s="6"/>
      <c r="H15" s="6">
        <v>1300</v>
      </c>
      <c r="I15" s="6">
        <v>650</v>
      </c>
      <c r="J15" s="6"/>
      <c r="K15" s="6"/>
      <c r="L15" s="6">
        <v>700</v>
      </c>
      <c r="M15" s="6"/>
      <c r="N15" s="6">
        <v>600</v>
      </c>
      <c r="O15" s="6">
        <v>750</v>
      </c>
      <c r="P15" s="6"/>
      <c r="Q15" s="6">
        <v>1850</v>
      </c>
      <c r="R15" s="6"/>
      <c r="S15" s="6">
        <v>1100</v>
      </c>
      <c r="T15" s="6">
        <v>700</v>
      </c>
      <c r="U15" s="6">
        <v>20</v>
      </c>
      <c r="V15" s="6">
        <v>700</v>
      </c>
      <c r="W15" s="6">
        <v>600</v>
      </c>
      <c r="X15" s="6"/>
    </row>
    <row r="16" spans="2:24">
      <c r="B16" s="5" t="s">
        <v>229</v>
      </c>
      <c r="C16" s="6">
        <v>240</v>
      </c>
      <c r="D16" s="6"/>
      <c r="E16" s="6">
        <v>420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8"/>
  <sheetViews>
    <sheetView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5" t="s">
        <v>254</v>
      </c>
      <c r="I2" s="59" t="s">
        <v>235</v>
      </c>
      <c r="J2" s="60"/>
      <c r="M2" s="30"/>
      <c r="N2" s="30"/>
      <c r="O2" s="30"/>
      <c r="P2" s="30"/>
    </row>
    <row r="3" spans="1:19" ht="23" thickBot="1">
      <c r="I3" s="57">
        <f>LastSavedTimeStamp()</f>
        <v>44168.838738425926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6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400</v>
      </c>
      <c r="I13" s="17">
        <v>100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50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51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33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9" t="s">
        <v>275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21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276</v>
      </c>
      <c r="B80" s="16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550</v>
      </c>
      <c r="I80" s="17">
        <f t="shared" ref="I80:I85" si="8">G80-H80</f>
        <v>50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278</v>
      </c>
      <c r="B81" s="19" t="s">
        <v>279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278</v>
      </c>
      <c r="B82" s="19" t="s">
        <v>279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6" t="s">
        <v>277</v>
      </c>
      <c r="B83" s="49" t="s">
        <v>253</v>
      </c>
      <c r="C83" s="47">
        <v>165</v>
      </c>
      <c r="D83" s="47"/>
      <c r="E83" s="47">
        <v>600</v>
      </c>
      <c r="F83" s="47">
        <v>1</v>
      </c>
      <c r="G83" s="17">
        <f t="shared" si="7"/>
        <v>600</v>
      </c>
      <c r="H83" s="47">
        <v>600</v>
      </c>
      <c r="I83" s="17">
        <f t="shared" si="8"/>
        <v>0</v>
      </c>
      <c r="J83" s="48"/>
      <c r="K83" s="20" t="str">
        <f>CONCATENATE(Table2[[#This Row],[Specs]],Table2[[#This Row],[Width]],Table2[[#This Row],[Slitting]])</f>
        <v>y ユポ80 MDN 8GB165</v>
      </c>
    </row>
    <row r="84" spans="1:11">
      <c r="A84" s="46" t="s">
        <v>277</v>
      </c>
      <c r="B84" s="49" t="s">
        <v>253</v>
      </c>
      <c r="C84" s="47">
        <v>140</v>
      </c>
      <c r="D84" s="47"/>
      <c r="E84" s="47">
        <v>600</v>
      </c>
      <c r="F84" s="47">
        <v>1</v>
      </c>
      <c r="G84" s="17">
        <f t="shared" si="7"/>
        <v>600</v>
      </c>
      <c r="H84" s="47">
        <v>600</v>
      </c>
      <c r="I84" s="17">
        <f t="shared" si="8"/>
        <v>0</v>
      </c>
      <c r="J84" s="48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280</v>
      </c>
      <c r="B85" s="19" t="s">
        <v>281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282</v>
      </c>
      <c r="B86" s="16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500</v>
      </c>
      <c r="I86" s="17">
        <f t="shared" ref="I86:I94" si="10">G86-H86</f>
        <v>100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284</v>
      </c>
      <c r="B87" s="19" t="s">
        <v>285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284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>
      <c r="A89" s="15" t="s">
        <v>286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>
      <c r="A90" s="15" t="s">
        <v>287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288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>
      <c r="A92" s="15" t="s">
        <v>288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>
      <c r="A93" s="15" t="s">
        <v>287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>
      <c r="A94" s="15" t="s">
        <v>290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>
      <c r="A95" s="15" t="s">
        <v>290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>
      <c r="A96" s="15" t="s">
        <v>290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290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>
      <c r="A98" s="15" t="s">
        <v>290</v>
      </c>
      <c r="B98" s="16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450</v>
      </c>
      <c r="I98" s="17">
        <f t="shared" si="12"/>
        <v>150</v>
      </c>
      <c r="J98" s="18"/>
      <c r="K98" s="20" t="str">
        <f>CONCATENATE(Table2[[#This Row],[Specs]],Table2[[#This Row],[Width]],Table2[[#This Row],[Slitting]])</f>
        <v>y ユポ80 MDN 8GB155</v>
      </c>
    </row>
    <row r="99" spans="1:11">
      <c r="A99" s="15" t="s">
        <v>290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291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291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292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>
      <c r="A103" s="15" t="s">
        <v>292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/>
      <c r="I103" s="17">
        <f t="shared" si="14"/>
        <v>600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292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>
      <c r="A105" s="15" t="s">
        <v>293</v>
      </c>
      <c r="B105" s="16" t="s">
        <v>294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>
      <c r="A106" s="15" t="s">
        <v>295</v>
      </c>
      <c r="B106" s="16" t="s">
        <v>294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>
      <c r="A107" s="15" t="s">
        <v>295</v>
      </c>
      <c r="B107" s="16" t="s">
        <v>294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>
      <c r="A108" s="15" t="s">
        <v>295</v>
      </c>
      <c r="B108" s="16" t="s">
        <v>294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>
      <c r="A109" s="15" t="s">
        <v>295</v>
      </c>
      <c r="B109" s="16" t="s">
        <v>294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>
      <c r="A110" s="15" t="s">
        <v>297</v>
      </c>
      <c r="B110" s="16" t="s">
        <v>298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>
      <c r="A111" s="15" t="s">
        <v>297</v>
      </c>
      <c r="B111" s="16" t="s">
        <v>298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>
      <c r="A112" s="15" t="s">
        <v>300</v>
      </c>
      <c r="B112" s="16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100</v>
      </c>
      <c r="I112" s="17">
        <f t="shared" si="16"/>
        <v>500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301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301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>
      <c r="A115" s="15" t="s">
        <v>301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>
      <c r="A116" s="15" t="s">
        <v>301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302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302</v>
      </c>
      <c r="B118" s="16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550</v>
      </c>
      <c r="I118" s="17">
        <f t="shared" si="18"/>
        <v>50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302</v>
      </c>
      <c r="B119" s="18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/>
      <c r="I119" s="17">
        <f t="shared" si="18"/>
        <v>600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303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>
      <c r="A121" s="15" t="s">
        <v>303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>F121*E121</f>
        <v>600</v>
      </c>
      <c r="H121" s="17"/>
      <c r="I121" s="17">
        <f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>
      <c r="A122" s="15" t="s">
        <v>303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>F122*E122</f>
        <v>600</v>
      </c>
      <c r="H122" s="17"/>
      <c r="I122" s="17">
        <f>G122-H122</f>
        <v>600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303</v>
      </c>
      <c r="B123" s="18" t="s">
        <v>253</v>
      </c>
      <c r="C123" s="17">
        <v>155</v>
      </c>
      <c r="D123" s="17"/>
      <c r="E123" s="17">
        <v>600</v>
      </c>
      <c r="F123" s="17">
        <v>1</v>
      </c>
      <c r="G123" s="17">
        <f>F123*E123</f>
        <v>600</v>
      </c>
      <c r="H123" s="17"/>
      <c r="I123" s="17">
        <f>G123-H123</f>
        <v>600</v>
      </c>
      <c r="J123" s="18"/>
      <c r="K123" s="20" t="str">
        <f>CONCATENATE(Table2[[#This Row],[Specs]],Table2[[#This Row],[Width]],Table2[[#This Row],[Slitting]])</f>
        <v>y ユポ80 MDN 8GB155</v>
      </c>
    </row>
    <row r="124" spans="1:11">
      <c r="A124" s="15" t="s">
        <v>304</v>
      </c>
      <c r="B124" s="18" t="s">
        <v>253</v>
      </c>
      <c r="C124" s="17">
        <v>165</v>
      </c>
      <c r="D124" s="17"/>
      <c r="E124" s="17">
        <v>600</v>
      </c>
      <c r="F124" s="17">
        <v>1</v>
      </c>
      <c r="G124" s="17">
        <f>F124*E124</f>
        <v>600</v>
      </c>
      <c r="H124" s="17"/>
      <c r="I124" s="17">
        <f>G124-H124</f>
        <v>600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>
      <c r="A125" s="15" t="s">
        <v>304</v>
      </c>
      <c r="B125" s="18" t="s">
        <v>253</v>
      </c>
      <c r="C125" s="17">
        <v>165</v>
      </c>
      <c r="D125" s="17"/>
      <c r="E125" s="17">
        <v>600</v>
      </c>
      <c r="F125" s="17">
        <v>1</v>
      </c>
      <c r="G125" s="17">
        <f>F125*E125</f>
        <v>600</v>
      </c>
      <c r="H125" s="17"/>
      <c r="I125" s="17">
        <f>G125-H125</f>
        <v>600</v>
      </c>
      <c r="J125" s="18"/>
      <c r="K125" s="20" t="str">
        <f>CONCATENATE(Table2[[#This Row],[Specs]],Table2[[#This Row],[Width]],Table2[[#This Row],[Slitting]])</f>
        <v>y ユポ80 MDN 8GB165</v>
      </c>
    </row>
    <row r="126" spans="1:11">
      <c r="A126" s="15" t="s">
        <v>305</v>
      </c>
      <c r="B126" s="18" t="s">
        <v>253</v>
      </c>
      <c r="C126" s="17">
        <v>140</v>
      </c>
      <c r="D126" s="17"/>
      <c r="E126" s="17">
        <v>600</v>
      </c>
      <c r="F126" s="17">
        <v>1</v>
      </c>
      <c r="G126" s="17">
        <f>F126*E126</f>
        <v>600</v>
      </c>
      <c r="H126" s="17"/>
      <c r="I126" s="17">
        <f>G126-H126</f>
        <v>600</v>
      </c>
      <c r="J126" s="18"/>
      <c r="K126" s="20" t="str">
        <f>CONCATENATE(Table2[[#This Row],[Specs]],Table2[[#This Row],[Width]],Table2[[#This Row],[Slitting]])</f>
        <v>y ユポ80 MDN 8GB140</v>
      </c>
    </row>
    <row r="127" spans="1:11">
      <c r="A127" s="15" t="s">
        <v>306</v>
      </c>
      <c r="B127" s="18" t="s">
        <v>12</v>
      </c>
      <c r="C127" s="17">
        <v>140</v>
      </c>
      <c r="D127" s="17"/>
      <c r="E127" s="17">
        <v>500</v>
      </c>
      <c r="F127" s="17">
        <v>1</v>
      </c>
      <c r="G127" s="17">
        <f>F127*E127</f>
        <v>500</v>
      </c>
      <c r="H127" s="17"/>
      <c r="I127" s="17">
        <f>G127-H127</f>
        <v>500</v>
      </c>
      <c r="J127" s="18"/>
      <c r="K127" s="20" t="str">
        <f>CONCATENATE(Table2[[#This Row],[Specs]],Table2[[#This Row],[Width]],Table2[[#This Row],[Slitting]])</f>
        <v>Nキャスト&lt;73&gt;ME80E140</v>
      </c>
    </row>
    <row r="128" spans="1:11">
      <c r="A128" s="15"/>
      <c r="B128" s="16"/>
      <c r="C128" s="17"/>
      <c r="D128" s="17"/>
      <c r="E128" s="17"/>
      <c r="F128" s="17"/>
      <c r="G128" s="17">
        <f>F128*E128</f>
        <v>0</v>
      </c>
      <c r="H128" s="17"/>
      <c r="I128" s="17">
        <f>G128-H128</f>
        <v>0</v>
      </c>
      <c r="J128" s="18"/>
      <c r="K128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6" sqref="F6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0976562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203</v>
      </c>
      <c r="F2" s="32" t="s">
        <v>255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44168.60738425926</v>
      </c>
      <c r="G3" s="22"/>
      <c r="H3" s="22"/>
      <c r="I3" s="14"/>
    </row>
    <row r="4" spans="1:9" ht="8" hidden="1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 hidden="1">
      <c r="A5" s="22" t="s">
        <v>16</v>
      </c>
      <c r="B5" s="22" t="s">
        <v>17</v>
      </c>
      <c r="C5" s="22" t="s">
        <v>192</v>
      </c>
      <c r="D5" s="22" t="s">
        <v>18</v>
      </c>
      <c r="E5" s="22" t="s">
        <v>20</v>
      </c>
      <c r="F5" s="22" t="s">
        <v>19</v>
      </c>
      <c r="G5" s="22" t="s">
        <v>195</v>
      </c>
      <c r="H5" s="22" t="s">
        <v>202</v>
      </c>
      <c r="I5" s="14"/>
    </row>
    <row r="6" spans="1:9" ht="20">
      <c r="A6" s="22" t="s">
        <v>22</v>
      </c>
      <c r="B6" s="22"/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289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 DIC2632</v>
      </c>
    </row>
    <row r="12" spans="1:9" ht="20">
      <c r="A12" s="24">
        <v>8</v>
      </c>
      <c r="B12" s="22" t="s">
        <v>22</v>
      </c>
      <c r="C12" s="22">
        <v>371</v>
      </c>
      <c r="D12" s="22" t="s">
        <v>194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28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29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30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31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32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33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34</v>
      </c>
      <c r="E19" s="22"/>
      <c r="F19" s="22" t="s">
        <v>57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35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36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37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35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38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39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40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41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42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43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264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45</v>
      </c>
      <c r="E31" s="22"/>
      <c r="F31" s="25">
        <v>43837</v>
      </c>
      <c r="G31" s="22" t="s">
        <v>46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47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48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49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50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51</v>
      </c>
      <c r="C36" s="22">
        <v>291</v>
      </c>
      <c r="D36" s="22" t="s">
        <v>52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51</v>
      </c>
      <c r="C37" s="22">
        <v>121</v>
      </c>
      <c r="D37" s="22" t="s">
        <v>52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51</v>
      </c>
      <c r="C38" s="22">
        <v>171</v>
      </c>
      <c r="D38" s="22" t="s">
        <v>52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51</v>
      </c>
      <c r="C39" s="22">
        <v>161</v>
      </c>
      <c r="D39" s="22" t="s">
        <v>53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51</v>
      </c>
      <c r="C40" s="22">
        <v>171</v>
      </c>
      <c r="D40" s="22" t="s">
        <v>53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51</v>
      </c>
      <c r="C41" s="22">
        <v>181</v>
      </c>
      <c r="D41" s="22" t="s">
        <v>54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55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56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55</v>
      </c>
      <c r="E44" s="22">
        <v>2</v>
      </c>
      <c r="F44" s="22" t="s">
        <v>57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58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59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60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61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62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63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64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61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65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66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67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68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69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69</v>
      </c>
      <c r="E58" s="22">
        <v>5</v>
      </c>
      <c r="F58" s="22" t="s">
        <v>57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70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237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72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73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74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75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76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77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78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79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80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81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82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80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28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83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84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85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44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86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87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88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89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90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90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91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92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93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69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65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67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67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94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94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95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96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97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98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99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100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100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49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82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101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102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103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104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105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106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107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108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108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93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109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109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109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109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110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111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112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112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113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114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115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116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117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118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248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119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120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121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122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122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122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123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29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124</v>
      </c>
      <c r="E135" s="22"/>
      <c r="F135" s="22" t="s">
        <v>125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124</v>
      </c>
      <c r="E136" s="22"/>
      <c r="F136" s="22" t="s">
        <v>125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80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80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126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127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243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55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128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129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130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131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132</v>
      </c>
      <c r="E147" s="22" t="s">
        <v>46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133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134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135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136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137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138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99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139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139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140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141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125</v>
      </c>
      <c r="E159" s="22"/>
      <c r="F159" s="22" t="s">
        <v>125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142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143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144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145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146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147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236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149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150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189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189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149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151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152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153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154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155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156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157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158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159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160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161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162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51</v>
      </c>
      <c r="C184" s="22">
        <v>173</v>
      </c>
      <c r="D184" s="22" t="s">
        <v>163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51</v>
      </c>
      <c r="C185" s="22">
        <v>173</v>
      </c>
      <c r="D185" s="22" t="s">
        <v>163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164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165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166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166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167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240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169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170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170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193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204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205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206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207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237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215</v>
      </c>
      <c r="C201" s="28">
        <v>163</v>
      </c>
      <c r="D201" s="28" t="s">
        <v>238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239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241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121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242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244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245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246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247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296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　黄</v>
      </c>
    </row>
    <row r="211" spans="1:8" ht="20">
      <c r="A211" s="27"/>
      <c r="B211" s="28" t="s">
        <v>22</v>
      </c>
      <c r="C211" s="28">
        <v>102</v>
      </c>
      <c r="D211" s="28" t="s">
        <v>274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283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283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283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 t="s">
        <v>22</v>
      </c>
      <c r="C215" s="28">
        <v>193</v>
      </c>
      <c r="D215" s="28" t="s">
        <v>182</v>
      </c>
      <c r="E215" s="28">
        <v>9</v>
      </c>
      <c r="F215" s="23">
        <v>44123</v>
      </c>
      <c r="G215" s="28"/>
      <c r="H215" s="29" t="str">
        <f>CONCATENATE(Table1[[#This Row],[Order Code]],Table1[[#This Row],[NAME]])</f>
        <v>193D-224 紫</v>
      </c>
    </row>
    <row r="216" spans="1:8" ht="20">
      <c r="A216" s="27"/>
      <c r="B216" s="28" t="s">
        <v>215</v>
      </c>
      <c r="C216" s="28">
        <v>102</v>
      </c>
      <c r="D216" s="52" t="s">
        <v>299</v>
      </c>
      <c r="E216" s="28">
        <v>10</v>
      </c>
      <c r="F216" s="23">
        <v>44127</v>
      </c>
      <c r="G216" s="28"/>
      <c r="H216" s="29" t="str">
        <f>CONCATENATE(Table1[[#This Row],[Order Code]],Table1[[#This Row],[NAME]])</f>
        <v>102ユタカ　FG　草</v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0" bestFit="1" customWidth="1"/>
    <col min="2" max="2" width="22.296875" style="37" customWidth="1"/>
    <col min="3" max="3" width="30.69921875" style="38" customWidth="1"/>
    <col min="4" max="4" width="9.296875" style="39" customWidth="1"/>
    <col min="5" max="5" width="17.69921875" style="39" customWidth="1"/>
    <col min="6" max="16384" width="8.69921875" style="35"/>
  </cols>
  <sheetData>
    <row r="1" spans="1:5" ht="26" thickBot="1">
      <c r="A1" s="61" t="s">
        <v>233</v>
      </c>
      <c r="B1" s="62"/>
      <c r="C1" s="44" t="s">
        <v>273</v>
      </c>
      <c r="D1" s="44" t="s">
        <v>2</v>
      </c>
      <c r="E1" s="41"/>
    </row>
    <row r="2" spans="1:5" ht="46">
      <c r="A2" s="36">
        <v>44061</v>
      </c>
      <c r="B2" s="43" t="s">
        <v>232</v>
      </c>
    </row>
    <row r="3" spans="1:5" ht="23">
      <c r="A3" s="36">
        <v>44062</v>
      </c>
      <c r="B3" s="42" t="s">
        <v>249</v>
      </c>
    </row>
    <row r="4" spans="1:5" ht="69">
      <c r="A4" s="36">
        <v>44063</v>
      </c>
      <c r="B4" s="42" t="s">
        <v>234</v>
      </c>
    </row>
    <row r="5" spans="1:5" ht="69">
      <c r="A5" s="36">
        <v>44064</v>
      </c>
      <c r="B5" s="42" t="s">
        <v>266</v>
      </c>
    </row>
    <row r="6" spans="1:5" ht="46">
      <c r="B6" s="42" t="s">
        <v>271</v>
      </c>
    </row>
  </sheetData>
  <mergeCells count="1">
    <mergeCell ref="A1:B1"/>
  </mergeCells>
  <phoneticPr fontId="18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2020-12-07T07:59:15Z</dcterms:modified>
</cp:coreProperties>
</file>