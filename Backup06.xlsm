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E14385BC-3A2F-B34E-803C-5F3C6F2E77C4}" xr6:coauthVersionLast="45" xr6:coauthVersionMax="45" xr10:uidLastSave="{00000000-0000-0000-0000-000000000000}"/>
  <bookViews>
    <workbookView xWindow="12800" yWindow="460" windowWidth="25600" windowHeight="13000" activeTab="3" xr2:uid="{00000000-000D-0000-FFFF-FFFF00000000}"/>
  </bookViews>
  <sheets>
    <sheet name="PaperSummary" sheetId="18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6" i="2" l="1"/>
  <c r="I76" i="2" s="1"/>
  <c r="K76" i="2"/>
  <c r="G75" i="2"/>
  <c r="I75" i="2" s="1"/>
  <c r="K75" i="2"/>
  <c r="G74" i="2"/>
  <c r="I74" i="2" s="1"/>
  <c r="K74" i="2"/>
  <c r="F3" i="3"/>
  <c r="I3" i="2"/>
  <c r="G73" i="2" l="1"/>
  <c r="I73" i="2" s="1"/>
  <c r="K73" i="2"/>
  <c r="G71" i="2" l="1"/>
  <c r="I71" i="2" s="1"/>
  <c r="G72" i="2"/>
  <c r="I72" i="2" s="1"/>
  <c r="K72" i="2"/>
  <c r="H6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<sst xmlns="http://schemas.openxmlformats.org/spreadsheetml/2006/main" count="770" uniqueCount="280">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</sst>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0.854689583335" createdVersion="3" refreshedVersion="6" minRefreshableVersion="3" recordCount="70" xr:uid="{6E9A16CE-3DDE-664E-B853-0F63A48AD471}">
  <cacheSource type="worksheet">
    <worksheetSource ref="A5:K75" sheet="Paper"/>
  </cacheSource>
  <cacheFields count="11">
    <cacheField name="Arrival" numFmtId="49">
      <sharedItems count="2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70"/>
        <n v="180"/>
        <n v="70"/>
        <n v="580"/>
        <n v="500"/>
        <n v="480"/>
        <n v="585"/>
        <n v="380"/>
        <n v="59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200"/>
        <n v="30"/>
        <n v="20"/>
        <n v="130"/>
        <n v="100"/>
        <n v="120"/>
        <n v="60"/>
        <n v="400"/>
        <n v="15"/>
        <n v="80"/>
        <n v="1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8"/>
    <x v="9"/>
    <x v="1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6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0"/>
    <x v="13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2"/>
    <x v="1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4"/>
    <x v="6"/>
    <x v="0"/>
    <x v="14"/>
  </r>
  <r>
    <x v="12"/>
    <x v="0"/>
    <x v="16"/>
    <x v="1"/>
    <x v="0"/>
    <x v="0"/>
    <x v="0"/>
    <x v="13"/>
    <x v="16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8"/>
    <x v="9"/>
    <x v="1"/>
    <x v="5"/>
  </r>
  <r>
    <x v="21"/>
    <x v="0"/>
    <x v="7"/>
    <x v="1"/>
    <x v="0"/>
    <x v="0"/>
    <x v="0"/>
    <x v="8"/>
    <x v="9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8"/>
    <x v="9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1"/>
    <x v="1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17E2A-347E-CC47-8029-0A9E1EA91AC9}" name="PaperPivotTable" cacheId="5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4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6"/>
        <item x="5"/>
        <item x="14"/>
        <item x="0"/>
        <item x="3"/>
        <item x="11"/>
        <item x="9"/>
        <item x="8"/>
        <item x="13"/>
        <item x="4"/>
        <item x="7"/>
        <item x="10"/>
        <item x="12"/>
        <item x="2"/>
        <item x="1"/>
      </items>
    </pivotField>
    <pivotField dataField="1" showAll="0" defaultSubtotal="0">
      <items count="18">
        <item x="3"/>
        <item x="15"/>
        <item x="13"/>
        <item x="7"/>
        <item x="6"/>
        <item x="16"/>
        <item x="11"/>
        <item x="14"/>
        <item x="9"/>
        <item x="10"/>
        <item x="8"/>
        <item x="5"/>
        <item x="4"/>
        <item x="0"/>
        <item x="17"/>
        <item x="12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6" headerRowDxfId="39" dataDxfId="38" totalsRowDxfId="37">
  <autoFilter ref="A5:K7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0BDB-AC17-1841-951A-9D090D662208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3100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6"/>
  <sheetViews>
    <sheetView zoomScaleNormal="100" workbookViewId="0">
      <pane ySplit="5" topLeftCell="A6" activePane="bottomLeft" state="frozen"/>
      <selection pane="bottomLeft" activeCell="I3" sqref="I3:J3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44070.637256944443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</f>
        <v>283</v>
      </c>
      <c r="I6" s="17">
        <f t="shared" ref="I6:I65" si="1">G6-H6</f>
        <v>317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6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300</v>
      </c>
      <c r="I25" s="17">
        <f t="shared" si="1"/>
        <v>300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8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6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220</v>
      </c>
      <c r="I66" s="17">
        <f t="shared" ref="I66:I72" si="9">G66-H66</f>
        <v>380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6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500</v>
      </c>
      <c r="I69" s="17">
        <f t="shared" si="9"/>
        <v>100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35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8" t="s">
        <v>259</v>
      </c>
      <c r="C73" s="17">
        <v>165</v>
      </c>
      <c r="D73" s="17"/>
      <c r="E73" s="17">
        <v>600</v>
      </c>
      <c r="F73" s="17">
        <v>1</v>
      </c>
      <c r="G73" s="17">
        <f>F73*E73</f>
        <v>600</v>
      </c>
      <c r="H73" s="17"/>
      <c r="I73" s="17">
        <f>G73-H73</f>
        <v>600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>F74*E74</f>
        <v>80</v>
      </c>
      <c r="H74" s="17"/>
      <c r="I74" s="17">
        <f>G74-H74</f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>F75*E75</f>
        <v>400</v>
      </c>
      <c r="H75" s="17"/>
      <c r="I75" s="17">
        <f>G75-H75</f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/>
      <c r="B76" s="16"/>
      <c r="C76" s="17"/>
      <c r="D76" s="17"/>
      <c r="E76" s="17"/>
      <c r="F76" s="17"/>
      <c r="G76" s="17">
        <f>F76*E76</f>
        <v>0</v>
      </c>
      <c r="H76" s="17"/>
      <c r="I76" s="17">
        <f>G76-H76</f>
        <v>0</v>
      </c>
      <c r="J76" s="18"/>
      <c r="K7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44070.637256944443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2020-08-27T11:30:53Z</dcterms:modified>
</cp:coreProperties>
</file>