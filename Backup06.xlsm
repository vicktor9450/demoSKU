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909B6E36-1E7E-3D47-A52C-F9AF932C37DB}" xr6:coauthVersionLast="46" xr6:coauthVersionMax="46" xr10:uidLastSave="{00000000-0000-0000-0000-000000000000}"/>
  <bookViews>
    <workbookView xWindow="0" yWindow="500" windowWidth="25600" windowHeight="13900" activeTab="1" xr2:uid="{00000000-000D-0000-FFFF-FFFF00000000}"/>
  </bookViews>
  <sheets>
    <sheet name="PaperSummary" sheetId="339" r:id="rId1"/>
    <sheet name="Paper" sheetId="2" r:id="rId2"/>
    <sheet name="INK" sheetId="3" r:id="rId3"/>
    <sheet name="Others" sheetId="265" r:id="rId4"/>
    <sheet name="Change Log" sheetId="109" r:id="rId5"/>
    <sheet name="Storage" sheetId="328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INK!$A$5:$G$239</definedName>
    <definedName name="_xlnm._FilterDatabase" localSheetId="1" hidden="1">Paper!$A$5:$J$168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0" r:id="rId9"/>
  </pivotCaches>
</workbook>
</file>

<file path=xl/calcChain.xml><?xml version="1.0" encoding="utf-8"?>
<calcChain xmlns="http://schemas.openxmlformats.org/spreadsheetml/2006/main">
  <c r="G168" i="2" l="1"/>
  <c r="I168" i="2" s="1"/>
  <c r="K168" i="2"/>
  <c r="G167" i="2"/>
  <c r="I167" i="2" s="1"/>
  <c r="K167" i="2"/>
  <c r="G166" i="2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39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<sst xmlns="http://schemas.openxmlformats.org/spreadsheetml/2006/main" count="1109" uniqueCount="377">
  <si>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</si>
  <si>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</si>
  <si>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</si>
  <si>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</si>
  <si>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</si>
  <si>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</si>
  <si>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</si>
  <si>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</si>
  <si>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</si>
  <si>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</si>
  <si>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</si>
  <si>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</si>
  <si>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</si>
  <si>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</si>
  <si>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</si>
  <si>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</si>
  <si>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</si>
  <si>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</si>
  <si>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</si>
  <si>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</si>
  <si>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</si>
  <si>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</si>
  <si>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</si>
  <si>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</si>
  <si>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</si>
  <si>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</si>
  <si>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</si>
  <si>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</si>
  <si>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</si>
  <si>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</si>
  <si>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</si>
  <si>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</si>
  <si>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</si>
  <si>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</si>
  <si>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</si>
  <si>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</si>
  <si>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</si>
  <si>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</si>
  <si>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</si>
  <si>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</si>
  <si>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</si>
  <si>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</si>
  <si>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</si>
  <si>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</si>
  <si>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</si>
  <si>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</si>
  <si>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</si>
  <si>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</si>
  <si>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</si>
  <si>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</si>
  <si>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</si>
  <si>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</si>
  <si>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</si>
  <si>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</si>
  <si>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</si>
  <si>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</si>
  <si>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</si>
  <si>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</si>
  <si>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</si>
  <si>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</si>
  <si>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</si>
  <si>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</si>
  <si>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</si>
  <si>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</si>
  <si>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</si>
  <si>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</si>
  <si>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</si>
  <si>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</si>
  <si>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</si>
  <si>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</si>
  <si>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</si>
  <si>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</si>
  <si>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</si>
  <si>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</si>
  <si>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</si>
  <si>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</si>
  <si>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</si>
  <si>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</si>
  <si>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</si>
  <si>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</si>
  <si>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</si>
  <si>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</si>
  <si>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</si>
  <si>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</si>
  <si>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</si>
  <si>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</si>
  <si>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</si>
  <si>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</si>
  <si>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</si>
  <si>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</si>
  <si>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</si>
  <si>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</si>
  <si>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</si>
  <si>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</si>
  <si>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</si>
  <si>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</si>
  <si>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</si>
  <si>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</si>
  <si>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</si>
  <si>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</si>
  <si>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</si>
  <si>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</si>
  <si>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</si>
  <si>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</si>
  <si>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</si>
  <si>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</si>
  <si>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</si>
  <si>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</si>
  <si>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</si>
  <si>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</si>
  <si>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</si>
  <si>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</si>
  <si>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</si>
  <si>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</si>
  <si>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</si>
  <si>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</si>
  <si>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</si>
  <si>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</si>
  <si>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</si>
  <si>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</si>
  <si>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</si>
  <si>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</si>
  <si>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</si>
  <si>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</si>
  <si>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</si>
  <si>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</si>
  <si>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</si>
  <si>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</si>
  <si>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</si>
  <si>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</si>
  <si>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</si>
  <si>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</si>
  <si>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</si>
  <si>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</si>
  <si>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</si>
  <si>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</si>
  <si>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</si>
  <si>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</si>
  <si>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</si>
  <si>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</si>
  <si>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</si>
  <si>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</si>
  <si>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</si>
  <si>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</si>
  <si>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</si>
  <si>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</si>
  <si>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</si>
  <si>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</si>
  <si>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</si>
  <si>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</si>
  <si>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</si>
  <si>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</si>
  <si>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</si>
  <si>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</si>
  <si>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</si>
  <si>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</si>
  <si>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</si>
  <si>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</si>
  <si>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</si>
  <si>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</si>
  <si>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</si>
  <si>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</si>
  <si>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</si>
  <si>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</si>
  <si>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</si>
  <si>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</si>
  <si>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</si>
  <si>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</si>
  <si>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</si>
  <si>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</si>
  <si>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</si>
  <si>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</si>
  <si>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</si>
  <si>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</si>
  <si>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</si>
  <si>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</si>
  <si>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</si>
  <si>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</si>
  <si>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</si>
  <si>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</si>
  <si>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</si>
  <si>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</si>
  <si>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</si>
  <si>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</si>
  <si>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</si>
  <si>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</si>
  <si>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</si>
  <si>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</si>
  <si>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</si>
  <si>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</si>
  <si>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</si>
  <si>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</si>
  <si>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</si>
  <si>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</si>
  <si>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</si>
  <si>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</si>
  <si>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</si>
  <si>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</si>
  <si>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</si>
  <si>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</si>
  <si>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</si>
  <si>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</si>
  <si>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</si>
  <si>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</si>
  <si>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</si>
  <si>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</si>
  <si>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</si>
  <si>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</si>
  <si>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</si>
  <si>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</si>
  <si>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</si>
  <si>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</si>
  <si>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</si>
  <si>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</si>
  <si>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</si>
  <si>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</si>
  <si>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</si>
  <si>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</si>
  <si>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</si>
  <si>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</si>
  <si>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</si>
  <si>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</si>
  <si>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</si>
  <si>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</si>
  <si>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</si>
  <si>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</si>
  <si>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</si>
  <si>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</si>
  <si>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</si>
  <si>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</si>
  <si>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</si>
  <si>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</si>
  <si>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</si>
  <si>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</si>
  <si>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</si>
  <si>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</si>
  <si>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</si>
  <si>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</si>
  <si>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</si>
  <si>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</si>
  <si>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</si>
  <si>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</si>
  <si>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</si>
  <si>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</si>
  <si>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</si>
  <si>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</si>
  <si>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</si>
  <si>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</si>
  <si>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</si>
  <si>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</si>
  <si>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</si>
  <si>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</si>
  <si>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</si>
  <si>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</si>
  <si>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</si>
  <si>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</si>
  <si>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</si>
  <si>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</si>
  <si>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</si>
  <si>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</si>
  <si>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</si>
  <si>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</si>
  <si>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</si>
  <si>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</si>
  <si>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</si>
  <si>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</si>
  <si>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</si>
  <si>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</si>
  <si>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</si>
  <si>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</si>
  <si>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</si>
  <si>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</si>
  <si>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</si>
  <si>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</si>
  <si>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</si>
  <si>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</si>
  <si>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</si>
  <si>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</si>
  <si>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</si>
  <si>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</si>
  <si>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</si>
  <si>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</si>
  <si>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</si>
  <si>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</si>
  <si>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</si>
  <si>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</si>
  <si>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</si>
  <si>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</si>
  <si>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</si>
  <si>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</si>
  <si>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</si>
  <si>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</si>
  <si>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</si>
  <si>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</si>
  <si>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</si>
  <si>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</si>
  <si>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</si>
  <si>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</si>
  <si>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</si>
  <si>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</si>
  <si>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</si>
  <si>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</si>
  <si>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</si>
  <si>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</si>
  <si>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</si>
  <si>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</si>
  <si>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</si>
  <si>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</si>
  <si>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</si>
  <si>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</si>
  <si>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</si>
  <si>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</si>
  <si>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</si>
  <si>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</si>
  <si>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</si>
  <si>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</si>
  <si>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</si>
  <si>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</si>
  <si>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</si>
  <si>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</si>
  <si>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</si>
  <si>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</si>
  <si>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</si>
  <si>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</si>
  <si>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</si>
  <si>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</si>
  <si>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</si>
  <si>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</si>
  <si>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</si>
  <si>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</si>
  <si>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</si>
  <si>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</si>
  <si>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</si>
  <si>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</si>
  <si>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</si>
  <si>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</si>
  <si>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</si>
  <si>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</si>
  <si>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</si>
  <si>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</si>
  <si>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</si>
  <si>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</si>
  <si>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</si>
  <si>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</si>
  <si>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</si>
  <si>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</si>
  <si>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</si>
  <si>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</si>
  <si>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</si>
  <si>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</si>
  <si>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</si>
  <si>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</si>
  <si>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</si>
  <si>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</si>
  <si>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</si>
  <si>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</si>
  <si>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</si>
  <si>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</si>
  <si>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</si>
  <si>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</si>
  <si>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</si>
  <si>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</si>
  <si>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</si>
  <si>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</si>
  <si>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</si>
  <si>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</si>
  <si>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</si>
  <si>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</si>
  <si>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</si>
  <si>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</si>
  <si>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</si>
  <si>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</si>
  <si>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</si>
  <si>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</si>
  <si>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2/19/2021</t>
  </si>
  <si>
    <t>R-8169(10kg)</t>
  </si>
  <si>
    <t>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</si>
</sst>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68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168" fontId="19" fillId="0" borderId="0" xfId="1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52.705421412036" createdVersion="3" refreshedVersion="6" minRefreshableVersion="3" recordCount="162" xr:uid="{3ECBB402-F843-BA4F-AE15-9DF17164C0E7}">
  <cacheSource type="worksheet">
    <worksheetSource ref="A5:K167" sheet="Paper"/>
  </cacheSource>
  <cacheFields count="11">
    <cacheField name="Arrival" numFmtId="49">
      <sharedItems count="6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  <s v="2/19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n v="120"/>
        <m/>
        <n v="0"/>
        <n v="400"/>
        <n v="550"/>
        <n v="570"/>
        <n v="180"/>
        <n v="70"/>
        <n v="300"/>
        <n v="480"/>
        <n v="500"/>
        <n v="580"/>
        <n v="585"/>
        <n v="380"/>
        <n v="10"/>
        <n v="250"/>
        <n v="80"/>
        <n v="1000"/>
        <n v="200"/>
        <n v="450"/>
      </sharedItems>
    </cacheField>
    <cacheField name="Remaining" numFmtId="0">
      <sharedItems containsSemiMixedTypes="0" containsString="0" containsNumber="1" containsInteger="1" minValue="0" maxValue="1200" count="22">
        <n v="0"/>
        <n v="480"/>
        <n v="600"/>
        <n v="1200"/>
        <n v="200"/>
        <n v="50"/>
        <n v="300"/>
        <n v="30"/>
        <n v="20"/>
        <n v="130"/>
        <n v="100"/>
        <n v="120"/>
        <n v="60"/>
        <n v="400"/>
        <n v="15"/>
        <n v="80"/>
        <n v="290"/>
        <n v="500"/>
        <n v="350"/>
        <n v="520"/>
        <n v="15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4"/>
    <x v="4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0"/>
    <x v="0"/>
    <x v="1"/>
    <x v="7"/>
  </r>
  <r>
    <x v="12"/>
    <x v="0"/>
    <x v="6"/>
    <x v="0"/>
    <x v="0"/>
    <x v="0"/>
    <x v="0"/>
    <x v="5"/>
    <x v="5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4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11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2"/>
    <x v="8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2"/>
    <x v="8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4"/>
    <x v="1"/>
    <x v="21"/>
  </r>
  <r>
    <x v="12"/>
    <x v="7"/>
    <x v="12"/>
    <x v="1"/>
    <x v="3"/>
    <x v="0"/>
    <x v="4"/>
    <x v="2"/>
    <x v="10"/>
    <x v="1"/>
    <x v="22"/>
  </r>
  <r>
    <x v="12"/>
    <x v="7"/>
    <x v="12"/>
    <x v="1"/>
    <x v="0"/>
    <x v="0"/>
    <x v="0"/>
    <x v="13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4"/>
    <x v="8"/>
    <x v="2"/>
    <x v="23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4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5"/>
    <x v="16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10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17"/>
    <x v="0"/>
    <x v="30"/>
  </r>
  <r>
    <x v="37"/>
    <x v="11"/>
    <x v="12"/>
    <x v="1"/>
    <x v="7"/>
    <x v="0"/>
    <x v="8"/>
    <x v="2"/>
    <x v="17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16"/>
    <x v="10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7"/>
    <x v="19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5"/>
    <x v="5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17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4"/>
    <x v="4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9"/>
    <x v="13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5"/>
    <x v="5"/>
    <x v="0"/>
    <x v="21"/>
  </r>
  <r>
    <x v="56"/>
    <x v="0"/>
    <x v="8"/>
    <x v="1"/>
    <x v="0"/>
    <x v="0"/>
    <x v="0"/>
    <x v="16"/>
    <x v="18"/>
    <x v="0"/>
    <x v="12"/>
  </r>
  <r>
    <x v="57"/>
    <x v="0"/>
    <x v="4"/>
    <x v="0"/>
    <x v="0"/>
    <x v="0"/>
    <x v="0"/>
    <x v="4"/>
    <x v="4"/>
    <x v="0"/>
    <x v="5"/>
  </r>
  <r>
    <x v="58"/>
    <x v="3"/>
    <x v="19"/>
    <x v="1"/>
    <x v="2"/>
    <x v="0"/>
    <x v="3"/>
    <x v="2"/>
    <x v="4"/>
    <x v="0"/>
    <x v="37"/>
  </r>
  <r>
    <x v="58"/>
    <x v="3"/>
    <x v="19"/>
    <x v="1"/>
    <x v="5"/>
    <x v="0"/>
    <x v="6"/>
    <x v="2"/>
    <x v="13"/>
    <x v="0"/>
    <x v="37"/>
  </r>
  <r>
    <x v="59"/>
    <x v="0"/>
    <x v="0"/>
    <x v="0"/>
    <x v="0"/>
    <x v="0"/>
    <x v="0"/>
    <x v="5"/>
    <x v="5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20"/>
    <x v="20"/>
    <x v="0"/>
    <x v="8"/>
  </r>
  <r>
    <x v="59"/>
    <x v="0"/>
    <x v="4"/>
    <x v="1"/>
    <x v="0"/>
    <x v="0"/>
    <x v="0"/>
    <x v="2"/>
    <x v="2"/>
    <x v="0"/>
    <x v="9"/>
  </r>
  <r>
    <x v="60"/>
    <x v="3"/>
    <x v="16"/>
    <x v="1"/>
    <x v="1"/>
    <x v="0"/>
    <x v="2"/>
    <x v="1"/>
    <x v="21"/>
    <x v="0"/>
    <x v="38"/>
  </r>
  <r>
    <x v="61"/>
    <x v="0"/>
    <x v="7"/>
    <x v="1"/>
    <x v="0"/>
    <x v="0"/>
    <x v="0"/>
    <x v="0"/>
    <x v="0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0"/>
    <x v="0"/>
    <x v="0"/>
    <x v="10"/>
  </r>
  <r>
    <x v="63"/>
    <x v="0"/>
    <x v="7"/>
    <x v="1"/>
    <x v="0"/>
    <x v="0"/>
    <x v="0"/>
    <x v="0"/>
    <x v="0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19"/>
    <x v="13"/>
    <x v="0"/>
    <x v="10"/>
  </r>
  <r>
    <x v="64"/>
    <x v="0"/>
    <x v="6"/>
    <x v="1"/>
    <x v="0"/>
    <x v="0"/>
    <x v="0"/>
    <x v="2"/>
    <x v="2"/>
    <x v="0"/>
    <x v="10"/>
  </r>
  <r>
    <x v="64"/>
    <x v="0"/>
    <x v="8"/>
    <x v="1"/>
    <x v="0"/>
    <x v="0"/>
    <x v="0"/>
    <x v="2"/>
    <x v="2"/>
    <x v="0"/>
    <x v="12"/>
  </r>
  <r>
    <x v="65"/>
    <x v="0"/>
    <x v="8"/>
    <x v="1"/>
    <x v="0"/>
    <x v="0"/>
    <x v="0"/>
    <x v="0"/>
    <x v="0"/>
    <x v="0"/>
    <x v="12"/>
  </r>
  <r>
    <x v="65"/>
    <x v="0"/>
    <x v="0"/>
    <x v="0"/>
    <x v="0"/>
    <x v="0"/>
    <x v="0"/>
    <x v="2"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2F1E7C-73BE-C842-860A-149ED35CFD30}" name="PaperPivotTable" cacheId="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6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6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3"/>
        <item x="15"/>
        <item x="8"/>
        <item x="17"/>
        <item x="1"/>
        <item x="7"/>
        <item x="19"/>
        <item x="16"/>
        <item x="9"/>
        <item x="14"/>
        <item x="4"/>
        <item x="20"/>
        <item x="10"/>
        <item x="11"/>
        <item x="5"/>
        <item x="6"/>
        <item x="12"/>
        <item x="13"/>
        <item x="0"/>
        <item x="18"/>
        <item x="2"/>
      </items>
    </pivotField>
    <pivotField dataField="1" showAll="0" defaultSubtotal="0">
      <items count="22">
        <item x="0"/>
        <item x="14"/>
        <item x="8"/>
        <item x="7"/>
        <item x="5"/>
        <item x="12"/>
        <item x="15"/>
        <item x="10"/>
        <item x="11"/>
        <item x="9"/>
        <item x="20"/>
        <item x="21"/>
        <item x="4"/>
        <item x="16"/>
        <item x="6"/>
        <item x="18"/>
        <item x="13"/>
        <item x="1"/>
        <item x="17"/>
        <item x="19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52">
      <pivotArea type="all" dataOnly="0" outline="0" fieldPosition="0"/>
    </format>
    <format dxfId="51">
      <pivotArea type="all" dataOnly="0" outline="0" fieldPosition="0"/>
    </format>
    <format dxfId="50">
      <pivotArea type="all" dataOnly="0" outline="0" fieldPosition="0"/>
    </format>
    <format dxfId="49">
      <pivotArea type="all" dataOnly="0" outline="0" fieldPosition="0"/>
    </format>
    <format dxfId="48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8" headerRowDxfId="47" dataDxfId="46" totalsRowDxfId="45">
  <autoFilter ref="A5:K168" xr:uid="{00000000-0009-0000-0100-000002000000}">
    <filterColumn colId="10">
      <customFilters>
        <customFilter val="*125*"/>
      </customFilters>
    </filterColumn>
  </autoFilter>
  <tableColumns count="11">
    <tableColumn id="1" xr3:uid="{00000000-0010-0000-0000-000001000000}" name="Arrival" totalsRowLabel="Total" dataDxfId="44" totalsRowDxfId="43"/>
    <tableColumn id="2" xr3:uid="{00000000-0010-0000-0000-000002000000}" name="Specs" dataDxfId="42" totalsRowDxfId="41"/>
    <tableColumn id="3" xr3:uid="{00000000-0010-0000-0000-000003000000}" name="Width" dataDxfId="40" totalsRowDxfId="39"/>
    <tableColumn id="9" xr3:uid="{00000000-0010-0000-0000-000009000000}" name="Slitting" dataDxfId="38" totalsRowDxfId="37"/>
    <tableColumn id="4" xr3:uid="{00000000-0010-0000-0000-000004000000}" name="Length" dataDxfId="36" totalsRowDxfId="35"/>
    <tableColumn id="5" xr3:uid="{00000000-0010-0000-0000-000005000000}" name="Roll" dataDxfId="34" totalsRowDxfId="33"/>
    <tableColumn id="6" xr3:uid="{00000000-0010-0000-0000-000006000000}" name="Total" dataDxfId="32" totalsRowDxfId="31">
      <calculatedColumnFormula>F6*E6</calculatedColumnFormula>
    </tableColumn>
    <tableColumn id="7" xr3:uid="{00000000-0010-0000-0000-000007000000}" name="Used" dataDxfId="30" totalsRowDxfId="29"/>
    <tableColumn id="8" xr3:uid="{00000000-0010-0000-0000-000008000000}" name="Remaining" dataDxfId="28" totalsRowDxfId="27">
      <calculatedColumnFormula>G6-H6</calculatedColumnFormula>
    </tableColumn>
    <tableColumn id="10" xr3:uid="{00000000-0010-0000-0000-00000A000000}" name="Lining" dataDxfId="26" totalsRowDxfId="25"/>
    <tableColumn id="11" xr3:uid="{00000000-0010-0000-0000-00000B000000}" name="Index" totalsRowFunction="count" dataDxfId="24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23" dataDxfId="22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21"/>
    <tableColumn id="2" xr3:uid="{00000000-0010-0000-0100-000002000000}" name="LINE" dataDxfId="20"/>
    <tableColumn id="3" xr3:uid="{00000000-0010-0000-0100-000003000000}" name="Order Code" dataDxfId="19"/>
    <tableColumn id="4" xr3:uid="{00000000-0010-0000-0100-000004000000}" name="NAME" dataDxfId="18"/>
    <tableColumn id="7" xr3:uid="{00000000-0010-0000-0100-000007000000}" name="REMAINING" dataDxfId="17"/>
    <tableColumn id="6" xr3:uid="{00000000-0010-0000-0100-000006000000}" name="IMPORT DATE" dataDxfId="16"/>
    <tableColumn id="8" xr3:uid="{00000000-0010-0000-0100-000008000000}" name="COLOR STD" dataDxfId="15"/>
    <tableColumn id="9" xr3:uid="{00000000-0010-0000-0100-000009000000}" name="Index" dataDxfId="14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32" totalsRowShown="0" headerRowDxfId="13" dataDxfId="12">
  <autoFilter ref="A4:L32" xr:uid="{2B0FEFF4-7EF3-B54D-B3E6-808DF4203ADB}"/>
  <tableColumns count="12">
    <tableColumn id="1" xr3:uid="{326CA969-F76E-DD45-A448-2EB0CC3A1E14}" name="Item" dataDxfId="11"/>
    <tableColumn id="12" xr3:uid="{345ECD02-4CC9-264C-859A-F5559A9483F4}" name="Used" dataDxfId="10"/>
    <tableColumn id="11" xr3:uid="{46C93879-F528-B046-91B0-2F690DBFC1B6}" name="Price" dataDxfId="9" dataCellStyle="Comma"/>
    <tableColumn id="2" xr3:uid="{94331D38-FB24-BC42-9C2A-75FC90CF759E}" name="Order No." dataDxfId="8"/>
    <tableColumn id="10" xr3:uid="{344F67DB-8944-5646-A4AD-415B23CFEF87}" name="Order Qty" dataDxfId="7"/>
    <tableColumn id="3" xr3:uid="{81B69717-EF50-964A-9D69-F880A47FBE35}" name="一本" dataDxfId="6"/>
    <tableColumn id="4" xr3:uid="{C260D21A-2F90-F64E-957D-52353309EECB}" name="Size" dataDxfId="5"/>
    <tableColumn id="5" xr3:uid="{5027592F-297D-0342-9A60-1178D09CB995}" name="Made Qty." dataDxfId="4"/>
    <tableColumn id="6" xr3:uid="{5DD021C4-82A5-2B4E-A21F-01878F596B5F}" name="No. of parts" dataDxfId="3"/>
    <tableColumn id="7" xr3:uid="{F75D1D7D-B7E9-6C4F-B480-7C568B3EDE37}" name="Box Name" dataDxfId="2"/>
    <tableColumn id="8" xr3:uid="{897F741F-2B64-9C41-9264-6B4530CF42B0}" name="Production Date" dataDxfId="1"/>
    <tableColumn id="9" xr3:uid="{BCCE5F6F-AED2-D84A-9220-A9B392E36D62}" name="No. of order last yea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A5FA0-0A22-994A-A04A-F8A3679E6763}">
  <dimension ref="B1:Z18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4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44252.705381944441</v>
      </c>
    </row>
    <row r="2" spans="2:26">
      <c r="B2" s="7" t="s">
        <v>201</v>
      </c>
      <c r="C2" s="7" t="s">
        <v>197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2:26">
      <c r="B3" s="57"/>
      <c r="C3" s="56">
        <v>40</v>
      </c>
      <c r="D3" s="56">
        <v>90</v>
      </c>
      <c r="E3" s="56">
        <v>100</v>
      </c>
      <c r="F3" s="56">
        <v>110</v>
      </c>
      <c r="G3" s="56">
        <v>115</v>
      </c>
      <c r="H3" s="56">
        <v>120</v>
      </c>
      <c r="I3" s="58">
        <v>125</v>
      </c>
      <c r="J3" s="59"/>
      <c r="K3" s="56">
        <v>130</v>
      </c>
      <c r="L3" s="56">
        <v>135</v>
      </c>
      <c r="M3" s="56">
        <v>140</v>
      </c>
      <c r="N3" s="56">
        <v>150</v>
      </c>
      <c r="O3" s="58">
        <v>155</v>
      </c>
      <c r="P3" s="59"/>
      <c r="Q3" s="56">
        <v>160</v>
      </c>
      <c r="R3" s="56">
        <v>165</v>
      </c>
      <c r="S3" s="56">
        <v>175</v>
      </c>
      <c r="T3" s="58">
        <v>185</v>
      </c>
      <c r="U3" s="59"/>
      <c r="V3" s="58">
        <v>205</v>
      </c>
      <c r="W3" s="59"/>
      <c r="X3" s="56">
        <v>210</v>
      </c>
      <c r="Y3" s="56">
        <v>215</v>
      </c>
      <c r="Z3" s="56">
        <v>220</v>
      </c>
    </row>
    <row r="4" spans="2:26" ht="46">
      <c r="B4" s="7" t="s">
        <v>0</v>
      </c>
      <c r="C4" s="56" t="s">
        <v>253</v>
      </c>
      <c r="D4" s="56" t="s">
        <v>253</v>
      </c>
      <c r="E4" s="56" t="s">
        <v>253</v>
      </c>
      <c r="F4" s="56" t="s">
        <v>253</v>
      </c>
      <c r="G4" s="56" t="s">
        <v>253</v>
      </c>
      <c r="H4" s="56" t="s">
        <v>253</v>
      </c>
      <c r="I4" s="56" t="s">
        <v>261</v>
      </c>
      <c r="J4" s="56" t="s">
        <v>253</v>
      </c>
      <c r="K4" s="56" t="s">
        <v>253</v>
      </c>
      <c r="L4" s="56" t="s">
        <v>253</v>
      </c>
      <c r="M4" s="56" t="s">
        <v>253</v>
      </c>
      <c r="N4" s="56" t="s">
        <v>253</v>
      </c>
      <c r="O4" s="56" t="s">
        <v>261</v>
      </c>
      <c r="P4" s="56" t="s">
        <v>253</v>
      </c>
      <c r="Q4" s="56" t="s">
        <v>253</v>
      </c>
      <c r="R4" s="56" t="s">
        <v>253</v>
      </c>
      <c r="S4" s="56" t="s">
        <v>253</v>
      </c>
      <c r="T4" s="56" t="s">
        <v>261</v>
      </c>
      <c r="U4" s="56" t="s">
        <v>253</v>
      </c>
      <c r="V4" s="56" t="s">
        <v>261</v>
      </c>
      <c r="W4" s="56" t="s">
        <v>253</v>
      </c>
      <c r="X4" s="56" t="s">
        <v>253</v>
      </c>
      <c r="Y4" s="56" t="s">
        <v>253</v>
      </c>
      <c r="Z4" s="56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650</v>
      </c>
      <c r="J17" s="6">
        <v>1000</v>
      </c>
      <c r="K17" s="6"/>
      <c r="L17" s="6"/>
      <c r="M17" s="6">
        <v>950</v>
      </c>
      <c r="N17" s="6"/>
      <c r="O17" s="6">
        <v>800</v>
      </c>
      <c r="P17" s="6">
        <v>800</v>
      </c>
      <c r="Q17" s="6"/>
      <c r="R17" s="6">
        <v>750</v>
      </c>
      <c r="S17" s="6"/>
      <c r="T17" s="6">
        <v>650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8"/>
  <sheetViews>
    <sheetView tabSelected="1" zoomScale="150" zoomScaleNormal="150" workbookViewId="0">
      <pane ySplit="5" topLeftCell="A133" activePane="bottomLeft" state="frozen"/>
      <selection pane="bottomLeft" activeCell="H164" sqref="H16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376</v>
      </c>
      <c r="B2" s="38" t="s">
        <v>250</v>
      </c>
      <c r="I2" s="61"/>
      <c r="J2" s="61"/>
      <c r="M2" s="28"/>
      <c r="N2" s="28"/>
      <c r="O2" s="28"/>
      <c r="P2" s="28"/>
    </row>
    <row r="3" spans="1:19" ht="22">
      <c r="I3" s="60"/>
      <c r="J3" s="60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600</v>
      </c>
      <c r="I28" s="17">
        <f t="shared" si="1"/>
        <v>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>
        <v>550</v>
      </c>
      <c r="I29" s="17">
        <f t="shared" si="1"/>
        <v>50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 hidden="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 hidden="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 hidden="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 hidden="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 hidden="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 hidden="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 hidden="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 hidden="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 hidden="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 hidden="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 hidden="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 hidden="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 hidden="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 hidden="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 hidden="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 hidden="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 hidden="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 hidden="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 hidden="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 hidden="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 hidden="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 hidden="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 hidden="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 hidden="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 hidden="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 hidden="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 hidden="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 hidden="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 hidden="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 hidden="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 hidden="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 hidden="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 hidden="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 hidden="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 hidden="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 hidden="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 hidden="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 hidden="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 hidden="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 hidden="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 hidden="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 hidden="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 hidden="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 hidden="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 hidden="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 hidden="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 hidden="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 hidden="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 hidden="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 hidden="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 hidden="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 hidden="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 hidden="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 hidden="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 hidden="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 hidden="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 hidden="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 hidden="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 hidden="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 hidden="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 hidden="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 hidden="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 hidden="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 hidden="1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400</v>
      </c>
      <c r="I129" s="17">
        <f t="shared" si="22"/>
        <v>200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 hidden="1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 hidden="1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 hidden="1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 hidden="1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 hidden="1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 hidden="1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 hidden="1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 hidden="1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 hidden="1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 hidden="1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 hidden="1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 hidden="1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 hidden="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 hidden="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 hidden="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 hidden="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 hidden="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400</v>
      </c>
      <c r="I149" s="17">
        <f t="shared" si="26"/>
        <v>200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 hidden="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 hidden="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 hidden="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 hidden="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550</v>
      </c>
      <c r="I153" s="17">
        <f t="shared" si="28"/>
        <v>50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 hidden="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 hidden="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>
        <v>450</v>
      </c>
      <c r="I155" s="17">
        <f t="shared" si="28"/>
        <v>150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 hidden="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 hidden="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 hidden="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600</v>
      </c>
      <c r="I158" s="17">
        <f t="shared" ref="I158:I163" si="30">G158-H158</f>
        <v>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 hidden="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600</v>
      </c>
      <c r="I160" s="17">
        <f t="shared" si="30"/>
        <v>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 hidden="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>
        <v>600</v>
      </c>
      <c r="I161" s="17">
        <f t="shared" si="30"/>
        <v>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 hidden="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>
      <c r="A163" s="15" t="s">
        <v>368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>
        <v>500</v>
      </c>
      <c r="I163" s="17">
        <f t="shared" si="30"/>
        <v>100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>
      <c r="A164" s="15" t="s">
        <v>368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>F164*E164</f>
        <v>600</v>
      </c>
      <c r="H164" s="17"/>
      <c r="I164" s="17">
        <f>G164-H164</f>
        <v>600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 hidden="1">
      <c r="A165" s="15" t="s">
        <v>368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>F165*E165</f>
        <v>600</v>
      </c>
      <c r="H165" s="17"/>
      <c r="I165" s="17">
        <f>G165-H165</f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 hidden="1">
      <c r="A166" s="15" t="s">
        <v>374</v>
      </c>
      <c r="B166" s="16" t="s">
        <v>249</v>
      </c>
      <c r="C166" s="17">
        <v>140</v>
      </c>
      <c r="D166" s="17"/>
      <c r="E166" s="17">
        <v>600</v>
      </c>
      <c r="F166" s="17">
        <v>1</v>
      </c>
      <c r="G166" s="17">
        <f>F166*E166</f>
        <v>600</v>
      </c>
      <c r="H166" s="17">
        <v>600</v>
      </c>
      <c r="I166" s="17">
        <f>G166-H166</f>
        <v>0</v>
      </c>
      <c r="J166" s="17"/>
      <c r="K166" s="19" t="str">
        <f>CONCATENATE(Table2[[#This Row],[Specs]],Table2[[#This Row],[Width]],Table2[[#This Row],[Slitting]])</f>
        <v>y ユポ80 MDN 8GB140</v>
      </c>
    </row>
    <row r="167" spans="1:11" hidden="1">
      <c r="A167" s="15" t="s">
        <v>374</v>
      </c>
      <c r="B167" s="16" t="s">
        <v>249</v>
      </c>
      <c r="C167" s="17">
        <v>185</v>
      </c>
      <c r="D167" s="17" t="s">
        <v>261</v>
      </c>
      <c r="E167" s="17">
        <v>600</v>
      </c>
      <c r="F167" s="17">
        <v>1</v>
      </c>
      <c r="G167" s="17">
        <f>F167*E167</f>
        <v>600</v>
      </c>
      <c r="H167" s="17"/>
      <c r="I167" s="17">
        <f>G167-H167</f>
        <v>600</v>
      </c>
      <c r="J167" s="17"/>
      <c r="K167" s="19" t="str">
        <f>CONCATENATE(Table2[[#This Row],[Specs]],Table2[[#This Row],[Width]],Table2[[#This Row],[Slitting]])</f>
        <v>y ユポ80 MDN 8GB185i 一本刃</v>
      </c>
    </row>
    <row r="168" spans="1:11" hidden="1">
      <c r="A168" s="15"/>
      <c r="B168" s="16"/>
      <c r="C168" s="17"/>
      <c r="D168" s="17"/>
      <c r="E168" s="17"/>
      <c r="F168" s="17"/>
      <c r="G168" s="17">
        <f>F168*E168</f>
        <v>0</v>
      </c>
      <c r="H168" s="17"/>
      <c r="I168" s="17">
        <f>G168-H168</f>
        <v>0</v>
      </c>
      <c r="J168" s="17"/>
      <c r="K168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2" t="s">
        <v>232</v>
      </c>
      <c r="B1" s="63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15" zoomScale="102" workbookViewId="0">
      <selection activeCell="A32" sqref="A32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55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55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55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B8" s="51">
        <v>1</v>
      </c>
      <c r="C8" s="55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55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55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55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55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55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55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55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55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55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55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55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55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55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55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55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55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B25" s="51">
        <v>1</v>
      </c>
      <c r="C25" s="55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55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55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A28" s="51" t="s">
        <v>369</v>
      </c>
      <c r="C28" s="55" t="s">
        <v>287</v>
      </c>
      <c r="D28" s="51" t="s">
        <v>287</v>
      </c>
      <c r="E28" s="51">
        <v>500</v>
      </c>
      <c r="F28" s="51">
        <v>0</v>
      </c>
      <c r="G28" s="51">
        <v>205</v>
      </c>
      <c r="H28" s="51">
        <v>800</v>
      </c>
      <c r="I28" s="51">
        <v>2</v>
      </c>
      <c r="J28" s="52" t="s">
        <v>340</v>
      </c>
      <c r="K28" s="53">
        <v>20210218</v>
      </c>
      <c r="L28" s="51" t="s">
        <v>287</v>
      </c>
    </row>
    <row r="29" spans="1:12">
      <c r="A29" s="51" t="s">
        <v>373</v>
      </c>
      <c r="C29" s="55">
        <v>14300</v>
      </c>
      <c r="D29" s="51">
        <v>138616</v>
      </c>
      <c r="E29" s="51">
        <v>1000</v>
      </c>
      <c r="F29" s="51">
        <v>0</v>
      </c>
      <c r="G29" s="51">
        <v>125</v>
      </c>
      <c r="H29" s="51">
        <v>1100</v>
      </c>
      <c r="I29" s="52" t="s">
        <v>371</v>
      </c>
      <c r="J29" s="52" t="s">
        <v>340</v>
      </c>
      <c r="K29" s="53">
        <v>20210219</v>
      </c>
      <c r="L29" s="51">
        <v>3</v>
      </c>
    </row>
    <row r="30" spans="1:12">
      <c r="A30" s="51" t="s">
        <v>372</v>
      </c>
      <c r="C30" s="55">
        <v>7150</v>
      </c>
      <c r="D30" s="51">
        <v>138615</v>
      </c>
      <c r="E30" s="51">
        <v>500</v>
      </c>
      <c r="F30" s="51">
        <v>0</v>
      </c>
      <c r="G30" s="51">
        <v>125</v>
      </c>
      <c r="H30" s="51">
        <v>560</v>
      </c>
      <c r="I30" s="52" t="s">
        <v>370</v>
      </c>
      <c r="J30" s="52" t="s">
        <v>340</v>
      </c>
      <c r="K30" s="53">
        <v>20210219</v>
      </c>
      <c r="L30" s="51">
        <v>3</v>
      </c>
    </row>
    <row r="31" spans="1:12">
      <c r="A31" s="51" t="s">
        <v>375</v>
      </c>
      <c r="C31" s="55">
        <v>14300</v>
      </c>
      <c r="D31" s="51">
        <v>138622</v>
      </c>
      <c r="E31" s="51">
        <v>1000</v>
      </c>
      <c r="F31" s="51">
        <v>1</v>
      </c>
      <c r="G31" s="51">
        <v>125</v>
      </c>
      <c r="H31" s="51">
        <v>262</v>
      </c>
      <c r="I31" s="52" t="s">
        <v>370</v>
      </c>
      <c r="J31" s="52" t="s">
        <v>340</v>
      </c>
      <c r="K31" s="53">
        <v>20210225</v>
      </c>
      <c r="L31" s="51" t="s">
        <v>287</v>
      </c>
    </row>
    <row r="32" spans="1:12">
      <c r="C32" s="55"/>
      <c r="I32" s="52"/>
      <c r="J32" s="52"/>
      <c r="K32" s="53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2021-02-26T11:52:10Z</dcterms:modified>
</cp:coreProperties>
</file>