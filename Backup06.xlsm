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3F50462F-C4A7-F24B-8712-44E8A7A8532E}" xr6:coauthVersionLast="45" xr6:coauthVersionMax="45" xr10:uidLastSave="{00000000-0000-0000-0000-000000000000}"/>
  <bookViews>
    <workbookView xWindow="8440" yWindow="6440" windowWidth="25600" windowHeight="13920" activeTab="2" xr2:uid="{00000000-000D-0000-FFFF-FFFF00000000}"/>
  </bookViews>
  <sheets>
    <sheet name="PaperSummary" sheetId="235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Paper!$A$5:$J$113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4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13" i="2" l="1"/>
  <c r="I113" i="2" s="1"/>
  <c r="K113" i="2"/>
  <c r="I3" i="2"/>
  <c r="F3" i="3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<sst xmlns="http://schemas.openxmlformats.org/spreadsheetml/2006/main" count="857" uniqueCount="301">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</sst>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4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8" fillId="0" borderId="11" xfId="0" applyNumberFormat="1" applyFont="1" applyBorder="1" applyAlignment="1">
      <alignment horizontal="right" vertical="center"/>
    </xf>
    <xf numFmtId="166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7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54.867363773148" createdVersion="3" refreshedVersion="6" minRefreshableVersion="3" recordCount="107" xr:uid="{E1D456B8-2437-2E45-A3D6-BF2CA6BD1C67}">
  <cacheSource type="worksheet">
    <worksheetSource ref="A5:K112" sheet="Paper"/>
  </cacheSource>
  <cacheFields count="11">
    <cacheField name="Arrival" numFmtId="49">
      <sharedItems count="40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9">
        <n v="600"/>
        <n v="300"/>
        <n v="200"/>
        <n v="100"/>
        <n v="60"/>
        <n v="400"/>
        <n v="80"/>
        <n v="500"/>
        <n v="35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0">
        <n v="600"/>
        <n v="1200"/>
        <n v="300"/>
        <n v="200"/>
        <n v="100"/>
        <n v="60"/>
        <n v="400"/>
        <n v="80"/>
        <n v="500"/>
        <n v="350"/>
      </sharedItems>
    </cacheField>
    <cacheField name="Used" numFmtId="0">
      <sharedItems containsString="0" containsBlank="1" containsNumber="1" containsInteger="1" minValue="10" maxValue="600" count="19">
        <n v="600"/>
        <m/>
        <n v="400"/>
        <n v="100"/>
        <n v="500"/>
        <n v="570"/>
        <n v="180"/>
        <n v="70"/>
        <n v="300"/>
        <n v="480"/>
        <n v="580"/>
        <n v="585"/>
        <n v="380"/>
        <n v="590"/>
        <n v="550"/>
        <n v="10"/>
        <n v="450"/>
        <n v="250"/>
        <n v="80"/>
      </sharedItems>
    </cacheField>
    <cacheField name="Remaining" numFmtId="0">
      <sharedItems containsSemiMixedTypes="0" containsString="0" containsNumber="1" containsInteger="1" minValue="0" maxValue="1200" count="21">
        <n v="0"/>
        <n v="600"/>
        <n v="200"/>
        <n v="1200"/>
        <n v="500"/>
        <n v="100"/>
        <n v="300"/>
        <n v="30"/>
        <n v="20"/>
        <n v="130"/>
        <n v="120"/>
        <n v="60"/>
        <n v="400"/>
        <n v="15"/>
        <n v="80"/>
        <n v="10"/>
        <n v="50"/>
        <n v="290"/>
        <n v="15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3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7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2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5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4"/>
    <x v="5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0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2"/>
    <x v="1"/>
    <x v="21"/>
  </r>
  <r>
    <x v="12"/>
    <x v="7"/>
    <x v="12"/>
    <x v="1"/>
    <x v="3"/>
    <x v="0"/>
    <x v="4"/>
    <x v="1"/>
    <x v="5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2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13"/>
    <x v="15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4"/>
    <x v="16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5"/>
    <x v="7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1"/>
    <x v="1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4"/>
    <x v="5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8"/>
    <x v="0"/>
    <x v="0"/>
    <x v="14"/>
  </r>
  <r>
    <x v="30"/>
    <x v="2"/>
    <x v="8"/>
    <x v="1"/>
    <x v="1"/>
    <x v="0"/>
    <x v="2"/>
    <x v="15"/>
    <x v="17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14"/>
    <x v="16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16"/>
    <x v="18"/>
    <x v="0"/>
    <x v="9"/>
  </r>
  <r>
    <x v="33"/>
    <x v="2"/>
    <x v="3"/>
    <x v="1"/>
    <x v="0"/>
    <x v="0"/>
    <x v="0"/>
    <x v="8"/>
    <x v="6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4"/>
    <x v="0"/>
    <x v="30"/>
  </r>
  <r>
    <x v="37"/>
    <x v="11"/>
    <x v="12"/>
    <x v="1"/>
    <x v="7"/>
    <x v="0"/>
    <x v="8"/>
    <x v="1"/>
    <x v="4"/>
    <x v="0"/>
    <x v="30"/>
  </r>
  <r>
    <x v="37"/>
    <x v="11"/>
    <x v="12"/>
    <x v="1"/>
    <x v="8"/>
    <x v="0"/>
    <x v="9"/>
    <x v="1"/>
    <x v="19"/>
    <x v="0"/>
    <x v="30"/>
  </r>
  <r>
    <x v="37"/>
    <x v="11"/>
    <x v="12"/>
    <x v="1"/>
    <x v="8"/>
    <x v="0"/>
    <x v="9"/>
    <x v="1"/>
    <x v="19"/>
    <x v="0"/>
    <x v="30"/>
  </r>
  <r>
    <x v="37"/>
    <x v="11"/>
    <x v="12"/>
    <x v="1"/>
    <x v="8"/>
    <x v="0"/>
    <x v="9"/>
    <x v="17"/>
    <x v="5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8"/>
    <x v="20"/>
    <x v="0"/>
    <x v="32"/>
  </r>
  <r>
    <x v="39"/>
    <x v="0"/>
    <x v="0"/>
    <x v="0"/>
    <x v="0"/>
    <x v="0"/>
    <x v="0"/>
    <x v="3"/>
    <x v="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02F457-CBC5-CE43-BAD4-581E7BEEE4BA}" name="PaperPivotTable" cacheId="40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6" firstHeaderRow="1" firstDataRow="3" firstDataCol="1"/>
  <pivotFields count="11">
    <pivotField showAll="0" defaultSubtotal="0">
      <items count="40">
        <item x="31"/>
        <item x="32"/>
        <item x="30"/>
        <item x="33"/>
        <item x="34"/>
        <item x="35"/>
        <item x="36"/>
        <item x="39"/>
        <item x="29"/>
        <item x="38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11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9">
        <item x="4"/>
        <item x="6"/>
        <item x="3"/>
        <item x="2"/>
        <item x="1"/>
        <item x="8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10">
        <item x="5"/>
        <item x="7"/>
        <item x="4"/>
        <item x="3"/>
        <item x="2"/>
        <item x="9"/>
        <item x="6"/>
        <item x="8"/>
        <item x="0"/>
        <item x="1"/>
      </items>
    </pivotField>
    <pivotField showAll="0" defaultSubtotal="0">
      <items count="19">
        <item x="15"/>
        <item x="7"/>
        <item x="18"/>
        <item x="3"/>
        <item x="6"/>
        <item x="17"/>
        <item x="8"/>
        <item x="12"/>
        <item x="2"/>
        <item x="16"/>
        <item x="9"/>
        <item x="4"/>
        <item x="14"/>
        <item x="5"/>
        <item x="10"/>
        <item x="11"/>
        <item x="13"/>
        <item x="0"/>
        <item x="1"/>
      </items>
    </pivotField>
    <pivotField dataField="1" showAll="0" defaultSubtotal="0">
      <items count="21">
        <item x="0"/>
        <item x="15"/>
        <item x="13"/>
        <item x="8"/>
        <item x="7"/>
        <item x="16"/>
        <item x="11"/>
        <item x="14"/>
        <item x="5"/>
        <item x="10"/>
        <item x="9"/>
        <item x="18"/>
        <item x="2"/>
        <item x="17"/>
        <item x="6"/>
        <item x="19"/>
        <item x="12"/>
        <item x="4"/>
        <item x="20"/>
        <item x="1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3">
        <item x="17"/>
        <item x="22"/>
        <item x="32"/>
        <item x="25"/>
        <item x="31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30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13" headerRowDxfId="39" dataDxfId="38" totalsRowDxfId="37">
  <autoFilter ref="A5:K113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9EB44-F5CD-804D-AADC-1EB845C07076}">
  <dimension ref="B1:X16"/>
  <sheetViews>
    <sheetView workbookViewId="0">
      <pane xSplit="2" ySplit="4" topLeftCell="U8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4.8984375" bestFit="1" customWidth="1"/>
    <col min="23" max="24" width="5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11.8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</row>
    <row r="3" spans="2:24">
      <c r="B3" s="55"/>
      <c r="C3" s="54">
        <v>40</v>
      </c>
      <c r="D3" s="54">
        <v>90</v>
      </c>
      <c r="E3" s="54">
        <v>100</v>
      </c>
      <c r="F3" s="54">
        <v>115</v>
      </c>
      <c r="G3" s="54">
        <v>120</v>
      </c>
      <c r="H3" s="56">
        <v>125</v>
      </c>
      <c r="I3" s="57"/>
      <c r="J3" s="54">
        <v>130</v>
      </c>
      <c r="K3" s="54">
        <v>135</v>
      </c>
      <c r="L3" s="54">
        <v>140</v>
      </c>
      <c r="M3" s="54">
        <v>150</v>
      </c>
      <c r="N3" s="56">
        <v>155</v>
      </c>
      <c r="O3" s="57"/>
      <c r="P3" s="54">
        <v>160</v>
      </c>
      <c r="Q3" s="54">
        <v>165</v>
      </c>
      <c r="R3" s="54">
        <v>175</v>
      </c>
      <c r="S3" s="56">
        <v>185</v>
      </c>
      <c r="T3" s="57"/>
      <c r="U3" s="56">
        <v>205</v>
      </c>
      <c r="V3" s="57"/>
      <c r="W3" s="54">
        <v>215</v>
      </c>
      <c r="X3" s="54">
        <v>220</v>
      </c>
    </row>
    <row r="4" spans="2:24">
      <c r="B4" s="7" t="s">
        <v>0</v>
      </c>
      <c r="C4" s="54" t="s">
        <v>257</v>
      </c>
      <c r="D4" s="54" t="s">
        <v>257</v>
      </c>
      <c r="E4" s="54" t="s">
        <v>257</v>
      </c>
      <c r="F4" s="54" t="s">
        <v>257</v>
      </c>
      <c r="G4" s="54" t="s">
        <v>257</v>
      </c>
      <c r="H4" s="54" t="s">
        <v>267</v>
      </c>
      <c r="I4" s="54" t="s">
        <v>257</v>
      </c>
      <c r="J4" s="54" t="s">
        <v>257</v>
      </c>
      <c r="K4" s="54" t="s">
        <v>257</v>
      </c>
      <c r="L4" s="54" t="s">
        <v>257</v>
      </c>
      <c r="M4" s="54" t="s">
        <v>257</v>
      </c>
      <c r="N4" s="54" t="s">
        <v>267</v>
      </c>
      <c r="O4" s="54" t="s">
        <v>257</v>
      </c>
      <c r="P4" s="54" t="s">
        <v>257</v>
      </c>
      <c r="Q4" s="54" t="s">
        <v>257</v>
      </c>
      <c r="R4" s="54" t="s">
        <v>257</v>
      </c>
      <c r="S4" s="54" t="s">
        <v>267</v>
      </c>
      <c r="T4" s="54" t="s">
        <v>257</v>
      </c>
      <c r="U4" s="54" t="s">
        <v>267</v>
      </c>
      <c r="V4" s="54" t="s">
        <v>257</v>
      </c>
      <c r="W4" s="54" t="s">
        <v>257</v>
      </c>
      <c r="X4" s="54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230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100</v>
      </c>
    </row>
    <row r="12" spans="2:24">
      <c r="B12" s="5" t="s">
        <v>12</v>
      </c>
      <c r="C12" s="6"/>
      <c r="D12" s="6">
        <v>900</v>
      </c>
      <c r="E12" s="6"/>
      <c r="F12" s="6"/>
      <c r="G12" s="6"/>
      <c r="H12" s="6"/>
      <c r="I12" s="6"/>
      <c r="J12" s="6">
        <v>1230</v>
      </c>
      <c r="K12" s="6"/>
      <c r="L12" s="6">
        <v>290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209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294</v>
      </c>
      <c r="C14" s="6"/>
      <c r="D14" s="6"/>
      <c r="E14" s="6">
        <v>1800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2:24">
      <c r="B15" s="5" t="s">
        <v>253</v>
      </c>
      <c r="C15" s="6"/>
      <c r="D15" s="6">
        <v>1620</v>
      </c>
      <c r="E15" s="6"/>
      <c r="F15" s="6">
        <v>50</v>
      </c>
      <c r="G15" s="6"/>
      <c r="H15" s="6">
        <v>1300</v>
      </c>
      <c r="I15" s="6">
        <v>600</v>
      </c>
      <c r="J15" s="6"/>
      <c r="K15" s="6"/>
      <c r="L15" s="6">
        <v>100</v>
      </c>
      <c r="M15" s="6"/>
      <c r="N15" s="6">
        <v>630</v>
      </c>
      <c r="O15" s="6">
        <v>150</v>
      </c>
      <c r="P15" s="6"/>
      <c r="Q15" s="6">
        <v>50</v>
      </c>
      <c r="R15" s="6"/>
      <c r="S15" s="6">
        <v>1100</v>
      </c>
      <c r="T15" s="6">
        <v>200</v>
      </c>
      <c r="U15" s="6">
        <v>20</v>
      </c>
      <c r="V15" s="6">
        <v>1100</v>
      </c>
      <c r="W15" s="6">
        <v>600</v>
      </c>
      <c r="X15" s="6"/>
    </row>
    <row r="16" spans="2:24">
      <c r="B16" s="5" t="s">
        <v>229</v>
      </c>
      <c r="C16" s="6">
        <v>240</v>
      </c>
      <c r="D16" s="6"/>
      <c r="E16" s="6">
        <v>420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13"/>
  <sheetViews>
    <sheetView zoomScale="107" zoomScaleNormal="107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254</v>
      </c>
      <c r="I2" s="60" t="s">
        <v>235</v>
      </c>
      <c r="J2" s="61"/>
      <c r="M2" s="30"/>
      <c r="N2" s="30"/>
      <c r="O2" s="30"/>
      <c r="P2" s="30"/>
    </row>
    <row r="3" spans="1:19" ht="23" thickBot="1">
      <c r="I3" s="58">
        <f>LastSavedTimeStamp()</f>
        <v>44154.867268518516</v>
      </c>
      <c r="J3" s="59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f t="shared" si="1"/>
        <v>200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51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52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6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35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570</v>
      </c>
      <c r="I68" s="17">
        <f t="shared" si="4"/>
        <v>30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276</v>
      </c>
      <c r="B80" s="18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/>
      <c r="I80" s="17">
        <f t="shared" ref="I80:I85" si="8"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277</v>
      </c>
      <c r="B83" s="50" t="s">
        <v>253</v>
      </c>
      <c r="C83" s="48">
        <v>165</v>
      </c>
      <c r="D83" s="48"/>
      <c r="E83" s="48">
        <v>600</v>
      </c>
      <c r="F83" s="48">
        <v>1</v>
      </c>
      <c r="G83" s="17">
        <f t="shared" si="7"/>
        <v>600</v>
      </c>
      <c r="H83" s="48">
        <v>600</v>
      </c>
      <c r="I83" s="17">
        <f t="shared" si="8"/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>
      <c r="A84" s="47" t="s">
        <v>277</v>
      </c>
      <c r="B84" s="50" t="s">
        <v>253</v>
      </c>
      <c r="C84" s="48">
        <v>140</v>
      </c>
      <c r="D84" s="48"/>
      <c r="E84" s="48">
        <v>600</v>
      </c>
      <c r="F84" s="48">
        <v>1</v>
      </c>
      <c r="G84" s="17">
        <f t="shared" si="7"/>
        <v>600</v>
      </c>
      <c r="H84" s="48">
        <v>600</v>
      </c>
      <c r="I84" s="17">
        <f t="shared" si="8"/>
        <v>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282</v>
      </c>
      <c r="B86" s="16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500</v>
      </c>
      <c r="I86" s="17">
        <f t="shared" ref="I86:I94" si="10">G86-H86</f>
        <v>100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284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>
      <c r="A89" s="15" t="s">
        <v>286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>
      <c r="A90" s="15" t="s">
        <v>287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288</v>
      </c>
      <c r="B91" s="18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550</v>
      </c>
      <c r="I91" s="17">
        <f t="shared" si="10"/>
        <v>50</v>
      </c>
      <c r="J91" s="18"/>
      <c r="K91" s="20" t="str">
        <f>CONCATENATE(Table2[[#This Row],[Specs]],Table2[[#This Row],[Width]],Table2[[#This Row],[Slitting]])</f>
        <v>y ユポ80 MDN 8GB165</v>
      </c>
    </row>
    <row r="92" spans="1:11">
      <c r="A92" s="15" t="s">
        <v>288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>
      <c r="A93" s="15" t="s">
        <v>287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>
      <c r="A94" s="15" t="s">
        <v>290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>
      <c r="A95" s="15" t="s">
        <v>290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>
      <c r="A96" s="15" t="s">
        <v>290</v>
      </c>
      <c r="B96" s="19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290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>
      <c r="A98" s="15" t="s">
        <v>290</v>
      </c>
      <c r="B98" s="16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450</v>
      </c>
      <c r="I98" s="17">
        <f t="shared" si="12"/>
        <v>150</v>
      </c>
      <c r="J98" s="18"/>
      <c r="K98" s="20" t="str">
        <f>CONCATENATE(Table2[[#This Row],[Specs]],Table2[[#This Row],[Width]],Table2[[#This Row],[Slitting]])</f>
        <v>y ユポ80 MDN 8GB155</v>
      </c>
    </row>
    <row r="99" spans="1:11">
      <c r="A99" s="15" t="s">
        <v>290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300</v>
      </c>
      <c r="I99" s="17">
        <f t="shared" si="12"/>
        <v>300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291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291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292</v>
      </c>
      <c r="B103" s="16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/>
      <c r="I103" s="17">
        <f t="shared" si="14"/>
        <v>600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292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>
      <c r="A105" s="15" t="s">
        <v>293</v>
      </c>
      <c r="B105" s="16" t="s">
        <v>294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>
      <c r="A106" s="15" t="s">
        <v>295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295</v>
      </c>
      <c r="B107" s="16" t="s">
        <v>294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297</v>
      </c>
      <c r="B110" s="16" t="s">
        <v>298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>
      <c r="A111" s="15" t="s">
        <v>297</v>
      </c>
      <c r="B111" s="16" t="s">
        <v>298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>
      <c r="A112" s="15" t="s">
        <v>300</v>
      </c>
      <c r="B112" s="16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100</v>
      </c>
      <c r="I112" s="17">
        <f t="shared" si="16"/>
        <v>500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/>
      <c r="B113" s="16"/>
      <c r="C113" s="17"/>
      <c r="D113" s="17"/>
      <c r="E113" s="17"/>
      <c r="F113" s="17"/>
      <c r="G113" s="17">
        <f>F113*E113</f>
        <v>0</v>
      </c>
      <c r="H113" s="17"/>
      <c r="I113" s="17">
        <f>G113-H113</f>
        <v>0</v>
      </c>
      <c r="J113" s="18"/>
      <c r="K113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abSelected="1" topLeftCell="B1" zoomScaleNormal="100" workbookViewId="0">
      <pane ySplit="5" topLeftCell="A6" activePane="bottomLeft" state="frozen"/>
      <selection pane="bottomLeft" activeCell="F6" sqref="F6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0976562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44154.547951388886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289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84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296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　黄</v>
      </c>
    </row>
    <row r="211" spans="1:8" ht="20">
      <c r="A211" s="27"/>
      <c r="B211" s="28" t="s">
        <v>22</v>
      </c>
      <c r="C211" s="28">
        <v>102</v>
      </c>
      <c r="D211" s="28" t="s">
        <v>274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283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283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283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>
      <c r="A216" s="27"/>
      <c r="B216" s="28" t="s">
        <v>215</v>
      </c>
      <c r="C216" s="28">
        <v>102</v>
      </c>
      <c r="D216" s="53" t="s">
        <v>299</v>
      </c>
      <c r="E216" s="28">
        <v>10</v>
      </c>
      <c r="F216" s="23">
        <v>44127</v>
      </c>
      <c r="G216" s="28"/>
      <c r="H216" s="29" t="str">
        <f>CONCATENATE(Table1[[#This Row],[Order Code]],Table1[[#This Row],[NAME]])</f>
        <v>102ユタカ　FG　草</v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2" t="s">
        <v>233</v>
      </c>
      <c r="B1" s="63"/>
      <c r="C1" s="45" t="s">
        <v>273</v>
      </c>
      <c r="D1" s="45" t="s">
        <v>2</v>
      </c>
      <c r="E1" s="42"/>
    </row>
    <row r="2" spans="1:5" ht="46">
      <c r="A2" s="37">
        <v>44061</v>
      </c>
      <c r="B2" s="44" t="s">
        <v>232</v>
      </c>
    </row>
    <row r="3" spans="1:5" ht="23">
      <c r="A3" s="37">
        <v>44062</v>
      </c>
      <c r="B3" s="43" t="s">
        <v>249</v>
      </c>
    </row>
    <row r="4" spans="1:5" ht="69">
      <c r="A4" s="37">
        <v>44063</v>
      </c>
      <c r="B4" s="43" t="s">
        <v>234</v>
      </c>
    </row>
    <row r="5" spans="1:5" ht="69">
      <c r="A5" s="37">
        <v>44064</v>
      </c>
      <c r="B5" s="43" t="s">
        <v>266</v>
      </c>
    </row>
    <row r="6" spans="1:5" ht="46">
      <c r="B6" s="43" t="s">
        <v>271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2020-11-19T11:49:30Z</dcterms:modified>
</cp:coreProperties>
</file>