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5D777679-70BF-4748-AD29-5B8D079B593D}" xr6:coauthVersionLast="45" xr6:coauthVersionMax="45" xr10:uidLastSave="{00000000-0000-0000-0000-000000000000}"/>
  <bookViews>
    <workbookView xWindow="0" yWindow="0" windowWidth="25600" windowHeight="14400" activeTab="1" xr2:uid="{00000000-000D-0000-FFFF-FFFF00000000}"/>
  </bookViews>
  <sheets>
    <sheet name="PaperSummary" sheetId="242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Paper!$A$5:$J$124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24" i="2" l="1"/>
  <c r="I124" i="2" s="1"/>
  <c r="K124" i="2"/>
  <c r="G123" i="2"/>
  <c r="I123" i="2" s="1"/>
  <c r="K123" i="2"/>
  <c r="G122" i="2"/>
  <c r="I122" i="2" s="1"/>
  <c r="K122" i="2"/>
  <c r="G121" i="2"/>
  <c r="I121" i="2" s="1"/>
  <c r="K121" i="2"/>
  <c r="I3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F3" i="3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<sst xmlns="http://schemas.openxmlformats.org/spreadsheetml/2006/main" count="879" uniqueCount="304">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</sst>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4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66.609024189813" createdVersion="3" refreshedVersion="6" minRefreshableVersion="3" recordCount="118" xr:uid="{C248903A-C796-0C4E-95A1-181C61FF48A8}">
  <cacheSource type="worksheet">
    <worksheetSource ref="A5:K123" sheet="Paper"/>
  </cacheSource>
  <cacheFields count="11">
    <cacheField name="Arrival" numFmtId="49">
      <sharedItems count="43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19">
        <n v="600"/>
        <m/>
        <n v="400"/>
        <n v="100"/>
        <n v="500"/>
        <n v="570"/>
        <n v="180"/>
        <n v="70"/>
        <n v="300"/>
        <n v="480"/>
        <n v="580"/>
        <n v="585"/>
        <n v="380"/>
        <n v="550"/>
        <n v="10"/>
        <n v="200"/>
        <n v="450"/>
        <n v="250"/>
        <n v="80"/>
      </sharedItems>
    </cacheField>
    <cacheField name="Remaining" numFmtId="0">
      <sharedItems containsSemiMixedTypes="0" containsString="0" containsNumber="1" containsInteger="1" minValue="0" maxValue="1200" count="20">
        <n v="0"/>
        <n v="600"/>
        <n v="100"/>
        <n v="1200"/>
        <n v="500"/>
        <n v="300"/>
        <n v="200"/>
        <n v="30"/>
        <n v="20"/>
        <n v="130"/>
        <n v="120"/>
        <n v="60"/>
        <n v="400"/>
        <n v="15"/>
        <n v="80"/>
        <n v="50"/>
        <n v="290"/>
        <n v="15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3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2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5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5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5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2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2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5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2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3"/>
    <x v="15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5"/>
    <x v="7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13"/>
    <x v="15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4"/>
    <x v="2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8"/>
    <x v="0"/>
    <x v="0"/>
    <x v="14"/>
  </r>
  <r>
    <x v="30"/>
    <x v="2"/>
    <x v="8"/>
    <x v="1"/>
    <x v="1"/>
    <x v="0"/>
    <x v="2"/>
    <x v="14"/>
    <x v="16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13"/>
    <x v="15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2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5"/>
    <x v="12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16"/>
    <x v="17"/>
    <x v="0"/>
    <x v="9"/>
  </r>
  <r>
    <x v="33"/>
    <x v="2"/>
    <x v="3"/>
    <x v="1"/>
    <x v="0"/>
    <x v="0"/>
    <x v="0"/>
    <x v="8"/>
    <x v="5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4"/>
    <x v="0"/>
    <x v="30"/>
  </r>
  <r>
    <x v="37"/>
    <x v="11"/>
    <x v="12"/>
    <x v="1"/>
    <x v="7"/>
    <x v="0"/>
    <x v="8"/>
    <x v="1"/>
    <x v="4"/>
    <x v="0"/>
    <x v="30"/>
  </r>
  <r>
    <x v="37"/>
    <x v="11"/>
    <x v="12"/>
    <x v="1"/>
    <x v="8"/>
    <x v="0"/>
    <x v="9"/>
    <x v="1"/>
    <x v="18"/>
    <x v="0"/>
    <x v="30"/>
  </r>
  <r>
    <x v="37"/>
    <x v="11"/>
    <x v="12"/>
    <x v="1"/>
    <x v="8"/>
    <x v="0"/>
    <x v="9"/>
    <x v="1"/>
    <x v="18"/>
    <x v="0"/>
    <x v="30"/>
  </r>
  <r>
    <x v="37"/>
    <x v="11"/>
    <x v="12"/>
    <x v="1"/>
    <x v="8"/>
    <x v="0"/>
    <x v="9"/>
    <x v="17"/>
    <x v="2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8"/>
    <x v="19"/>
    <x v="0"/>
    <x v="32"/>
  </r>
  <r>
    <x v="39"/>
    <x v="0"/>
    <x v="0"/>
    <x v="0"/>
    <x v="0"/>
    <x v="0"/>
    <x v="0"/>
    <x v="3"/>
    <x v="4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2"/>
    <x v="6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3"/>
    <x v="15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1"/>
    <x v="1"/>
    <x v="0"/>
    <x v="8"/>
  </r>
  <r>
    <x v="41"/>
    <x v="0"/>
    <x v="7"/>
    <x v="1"/>
    <x v="0"/>
    <x v="0"/>
    <x v="0"/>
    <x v="1"/>
    <x v="1"/>
    <x v="0"/>
    <x v="8"/>
  </r>
  <r>
    <x v="42"/>
    <x v="0"/>
    <x v="7"/>
    <x v="1"/>
    <x v="0"/>
    <x v="0"/>
    <x v="0"/>
    <x v="2"/>
    <x v="6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1"/>
    <x v="1"/>
    <x v="0"/>
    <x v="10"/>
  </r>
  <r>
    <x v="42"/>
    <x v="0"/>
    <x v="4"/>
    <x v="1"/>
    <x v="0"/>
    <x v="0"/>
    <x v="0"/>
    <x v="1"/>
    <x v="1"/>
    <x v="0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F11454-9985-404A-A43E-74CE3A182D90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43">
        <item x="31"/>
        <item x="32"/>
        <item x="30"/>
        <item x="33"/>
        <item x="34"/>
        <item x="35"/>
        <item x="36"/>
        <item x="39"/>
        <item x="29"/>
        <item x="38"/>
        <item x="40"/>
        <item x="41"/>
        <item x="42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19">
        <item x="14"/>
        <item x="7"/>
        <item x="18"/>
        <item x="3"/>
        <item x="6"/>
        <item x="15"/>
        <item x="17"/>
        <item x="8"/>
        <item x="12"/>
        <item x="2"/>
        <item x="16"/>
        <item x="9"/>
        <item x="4"/>
        <item x="13"/>
        <item x="5"/>
        <item x="10"/>
        <item x="11"/>
        <item x="0"/>
        <item x="1"/>
      </items>
    </pivotField>
    <pivotField dataField="1" showAll="0" defaultSubtotal="0">
      <items count="20">
        <item x="0"/>
        <item x="13"/>
        <item x="8"/>
        <item x="7"/>
        <item x="15"/>
        <item x="11"/>
        <item x="14"/>
        <item x="2"/>
        <item x="10"/>
        <item x="9"/>
        <item x="17"/>
        <item x="6"/>
        <item x="16"/>
        <item x="5"/>
        <item x="18"/>
        <item x="12"/>
        <item x="4"/>
        <item x="19"/>
        <item x="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3">
        <item x="17"/>
        <item x="22"/>
        <item x="32"/>
        <item x="25"/>
        <item x="31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24" headerRowDxfId="39" dataDxfId="38" totalsRowDxfId="37">
  <autoFilter ref="A5:K124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C9DAB-15FE-DF4F-B74B-32A720F3D37C}">
  <dimension ref="B1:X16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4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</row>
    <row r="3" spans="2:24">
      <c r="B3" s="55"/>
      <c r="C3" s="54">
        <v>40</v>
      </c>
      <c r="D3" s="54">
        <v>90</v>
      </c>
      <c r="E3" s="54">
        <v>100</v>
      </c>
      <c r="F3" s="54">
        <v>115</v>
      </c>
      <c r="G3" s="54">
        <v>120</v>
      </c>
      <c r="H3" s="56">
        <v>125</v>
      </c>
      <c r="I3" s="57"/>
      <c r="J3" s="54">
        <v>130</v>
      </c>
      <c r="K3" s="54">
        <v>135</v>
      </c>
      <c r="L3" s="54">
        <v>140</v>
      </c>
      <c r="M3" s="54">
        <v>150</v>
      </c>
      <c r="N3" s="56">
        <v>155</v>
      </c>
      <c r="O3" s="57"/>
      <c r="P3" s="54">
        <v>160</v>
      </c>
      <c r="Q3" s="54">
        <v>165</v>
      </c>
      <c r="R3" s="54">
        <v>175</v>
      </c>
      <c r="S3" s="56">
        <v>185</v>
      </c>
      <c r="T3" s="57"/>
      <c r="U3" s="56">
        <v>205</v>
      </c>
      <c r="V3" s="57"/>
      <c r="W3" s="54">
        <v>215</v>
      </c>
      <c r="X3" s="54">
        <v>220</v>
      </c>
    </row>
    <row r="4" spans="2:24">
      <c r="B4" s="7" t="s">
        <v>0</v>
      </c>
      <c r="C4" s="54" t="s">
        <v>257</v>
      </c>
      <c r="D4" s="54" t="s">
        <v>257</v>
      </c>
      <c r="E4" s="54" t="s">
        <v>257</v>
      </c>
      <c r="F4" s="54" t="s">
        <v>257</v>
      </c>
      <c r="G4" s="54" t="s">
        <v>257</v>
      </c>
      <c r="H4" s="54" t="s">
        <v>267</v>
      </c>
      <c r="I4" s="54" t="s">
        <v>257</v>
      </c>
      <c r="J4" s="54" t="s">
        <v>257</v>
      </c>
      <c r="K4" s="54" t="s">
        <v>257</v>
      </c>
      <c r="L4" s="54" t="s">
        <v>257</v>
      </c>
      <c r="M4" s="54" t="s">
        <v>257</v>
      </c>
      <c r="N4" s="54" t="s">
        <v>267</v>
      </c>
      <c r="O4" s="54" t="s">
        <v>257</v>
      </c>
      <c r="P4" s="54" t="s">
        <v>257</v>
      </c>
      <c r="Q4" s="54" t="s">
        <v>257</v>
      </c>
      <c r="R4" s="54" t="s">
        <v>257</v>
      </c>
      <c r="S4" s="54" t="s">
        <v>267</v>
      </c>
      <c r="T4" s="54" t="s">
        <v>257</v>
      </c>
      <c r="U4" s="54" t="s">
        <v>267</v>
      </c>
      <c r="V4" s="54" t="s">
        <v>257</v>
      </c>
      <c r="W4" s="54" t="s">
        <v>257</v>
      </c>
      <c r="X4" s="54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1300</v>
      </c>
      <c r="E12" s="6"/>
      <c r="F12" s="6"/>
      <c r="G12" s="6"/>
      <c r="H12" s="6"/>
      <c r="I12" s="6"/>
      <c r="J12" s="6">
        <v>1230</v>
      </c>
      <c r="K12" s="6"/>
      <c r="L12" s="6">
        <v>290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294</v>
      </c>
      <c r="C14" s="6"/>
      <c r="D14" s="6"/>
      <c r="E14" s="6">
        <v>1800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650</v>
      </c>
      <c r="J15" s="6"/>
      <c r="K15" s="6"/>
      <c r="L15" s="6">
        <v>100</v>
      </c>
      <c r="M15" s="6"/>
      <c r="N15" s="6">
        <v>630</v>
      </c>
      <c r="O15" s="6">
        <v>750</v>
      </c>
      <c r="P15" s="6"/>
      <c r="Q15" s="6">
        <v>1650</v>
      </c>
      <c r="R15" s="6"/>
      <c r="S15" s="6">
        <v>1100</v>
      </c>
      <c r="T15" s="6">
        <v>700</v>
      </c>
      <c r="U15" s="6">
        <v>20</v>
      </c>
      <c r="V15" s="6">
        <v>1100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24"/>
  <sheetViews>
    <sheetView tabSelected="1" zoomScale="107" zoomScaleNormal="107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254</v>
      </c>
      <c r="I2" s="60" t="s">
        <v>235</v>
      </c>
      <c r="J2" s="61"/>
      <c r="M2" s="30"/>
      <c r="N2" s="30"/>
      <c r="O2" s="30"/>
      <c r="P2" s="30"/>
    </row>
    <row r="3" spans="1:19" ht="23" thickBot="1">
      <c r="I3" s="58">
        <f>LastSavedTimeStamp()</f>
        <v>44166.60900462963</v>
      </c>
      <c r="J3" s="59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v>100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1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52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9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35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570</v>
      </c>
      <c r="I68" s="17">
        <f t="shared" si="4"/>
        <v>30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6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550</v>
      </c>
      <c r="I80" s="17">
        <f t="shared" ref="I80:I85" si="8">G80-H80</f>
        <v>50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277</v>
      </c>
      <c r="B83" s="50" t="s">
        <v>253</v>
      </c>
      <c r="C83" s="48">
        <v>165</v>
      </c>
      <c r="D83" s="48"/>
      <c r="E83" s="48">
        <v>600</v>
      </c>
      <c r="F83" s="48">
        <v>1</v>
      </c>
      <c r="G83" s="17">
        <f t="shared" si="7"/>
        <v>600</v>
      </c>
      <c r="H83" s="48">
        <v>600</v>
      </c>
      <c r="I83" s="17">
        <f t="shared" si="8"/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277</v>
      </c>
      <c r="B84" s="50" t="s">
        <v>253</v>
      </c>
      <c r="C84" s="48">
        <v>140</v>
      </c>
      <c r="D84" s="48"/>
      <c r="E84" s="48">
        <v>600</v>
      </c>
      <c r="F84" s="48">
        <v>1</v>
      </c>
      <c r="G84" s="17">
        <f t="shared" si="7"/>
        <v>600</v>
      </c>
      <c r="H84" s="48">
        <v>600</v>
      </c>
      <c r="I84" s="17">
        <f t="shared" si="8"/>
        <v>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6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500</v>
      </c>
      <c r="I86" s="17">
        <f t="shared" ref="I86:I94" si="10">G86-H86</f>
        <v>100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8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550</v>
      </c>
      <c r="I91" s="17">
        <f t="shared" si="10"/>
        <v>50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290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450</v>
      </c>
      <c r="I98" s="17">
        <f t="shared" si="12"/>
        <v>150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300</v>
      </c>
      <c r="I99" s="17">
        <f t="shared" si="12"/>
        <v>300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6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300</v>
      </c>
      <c r="B112" s="16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100</v>
      </c>
      <c r="I112" s="17">
        <f t="shared" si="16"/>
        <v>500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301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301</v>
      </c>
      <c r="B114" s="16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400</v>
      </c>
      <c r="I114" s="17">
        <f t="shared" si="18"/>
        <v>200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>
      <c r="A115" s="15" t="s">
        <v>301</v>
      </c>
      <c r="B115" s="19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>
      <c r="A116" s="15" t="s">
        <v>301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302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302</v>
      </c>
      <c r="B118" s="18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/>
      <c r="I118" s="17">
        <f t="shared" si="18"/>
        <v>600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302</v>
      </c>
      <c r="B119" s="18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/>
      <c r="I119" s="17">
        <f t="shared" si="18"/>
        <v>600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 t="s">
        <v>303</v>
      </c>
      <c r="B120" s="16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400</v>
      </c>
      <c r="I120" s="17">
        <f t="shared" si="18"/>
        <v>200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>
      <c r="A121" s="15" t="s">
        <v>303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>F121*E121</f>
        <v>600</v>
      </c>
      <c r="H121" s="17"/>
      <c r="I121" s="17">
        <f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>
      <c r="A122" s="15" t="s">
        <v>303</v>
      </c>
      <c r="B122" s="18" t="s">
        <v>253</v>
      </c>
      <c r="C122" s="17">
        <v>125</v>
      </c>
      <c r="D122" s="17"/>
      <c r="E122" s="17">
        <v>600</v>
      </c>
      <c r="F122" s="17">
        <v>1</v>
      </c>
      <c r="G122" s="17">
        <f>F122*E122</f>
        <v>600</v>
      </c>
      <c r="H122" s="17"/>
      <c r="I122" s="17">
        <f>G122-H122</f>
        <v>600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>
      <c r="A123" s="15" t="s">
        <v>303</v>
      </c>
      <c r="B123" s="18" t="s">
        <v>253</v>
      </c>
      <c r="C123" s="17">
        <v>155</v>
      </c>
      <c r="D123" s="17"/>
      <c r="E123" s="17">
        <v>600</v>
      </c>
      <c r="F123" s="17">
        <v>1</v>
      </c>
      <c r="G123" s="17">
        <f>F123*E123</f>
        <v>600</v>
      </c>
      <c r="H123" s="17"/>
      <c r="I123" s="17">
        <f>G123-H123</f>
        <v>600</v>
      </c>
      <c r="J123" s="18"/>
      <c r="K123" s="20" t="str">
        <f>CONCATENATE(Table2[[#This Row],[Specs]],Table2[[#This Row],[Width]],Table2[[#This Row],[Slitting]])</f>
        <v>y ユポ80 MDN 8GB155</v>
      </c>
    </row>
    <row r="124" spans="1:11">
      <c r="A124" s="15"/>
      <c r="B124" s="16"/>
      <c r="C124" s="17"/>
      <c r="D124" s="17"/>
      <c r="E124" s="17"/>
      <c r="F124" s="17"/>
      <c r="G124" s="17">
        <f>F124*E124</f>
        <v>0</v>
      </c>
      <c r="H124" s="17"/>
      <c r="I124" s="17">
        <f>G124-H124</f>
        <v>0</v>
      </c>
      <c r="J124" s="18"/>
      <c r="K124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0976562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44154.547951388886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283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>
      <c r="A216" s="27"/>
      <c r="B216" s="28" t="s">
        <v>215</v>
      </c>
      <c r="C216" s="28">
        <v>102</v>
      </c>
      <c r="D216" s="53" t="s">
        <v>299</v>
      </c>
      <c r="E216" s="28">
        <v>10</v>
      </c>
      <c r="F216" s="23">
        <v>44127</v>
      </c>
      <c r="G216" s="28"/>
      <c r="H216" s="29" t="str">
        <f>CONCATENATE(Table1[[#This Row],[Order Code]],Table1[[#This Row],[NAME]])</f>
        <v>102ユタカ　FG　草</v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2" t="s">
        <v>233</v>
      </c>
      <c r="B1" s="63"/>
      <c r="C1" s="45" t="s">
        <v>273</v>
      </c>
      <c r="D1" s="45" t="s">
        <v>2</v>
      </c>
      <c r="E1" s="42"/>
    </row>
    <row r="2" spans="1:5" ht="46">
      <c r="A2" s="37">
        <v>44061</v>
      </c>
      <c r="B2" s="44" t="s">
        <v>232</v>
      </c>
    </row>
    <row r="3" spans="1:5" ht="23">
      <c r="A3" s="37">
        <v>44062</v>
      </c>
      <c r="B3" s="43" t="s">
        <v>249</v>
      </c>
    </row>
    <row r="4" spans="1:5" ht="69">
      <c r="A4" s="37">
        <v>44063</v>
      </c>
      <c r="B4" s="43" t="s">
        <v>234</v>
      </c>
    </row>
    <row r="5" spans="1:5" ht="69">
      <c r="A5" s="37">
        <v>44064</v>
      </c>
      <c r="B5" s="43" t="s">
        <v>266</v>
      </c>
    </row>
    <row r="6" spans="1:5" ht="46">
      <c r="B6" s="43" t="s">
        <v>271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2020-12-01T05:37:12Z</dcterms:modified>
</cp:coreProperties>
</file>