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9BBDF905-FD0C-0A42-9DF7-14CF59FC46A8}" xr6:coauthVersionLast="45" xr6:coauthVersionMax="45" xr10:uidLastSave="{00000000-0000-0000-0000-000000000000}"/>
  <bookViews>
    <workbookView xWindow="12800" yWindow="460" windowWidth="25600" windowHeight="13000" activeTab="3" xr2:uid="{00000000-000D-0000-FFFF-FFFF00000000}"/>
  </bookViews>
  <sheets>
    <sheet name="PaperSummary" sheetId="189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Paper!$A$5:$J$79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8" i="2" l="1"/>
  <c r="I78" i="2" s="1"/>
  <c r="G77" i="2"/>
  <c r="I77" i="2" s="1"/>
  <c r="G79" i="2"/>
  <c r="I79" i="2" s="1"/>
  <c r="K79" i="2"/>
  <c r="K78" i="2"/>
  <c r="K77" i="2"/>
  <c r="I3" i="2"/>
  <c r="F3" i="3"/>
  <c r="H6" i="2" l="1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<sst xmlns="http://schemas.openxmlformats.org/spreadsheetml/2006/main" count="773" uniqueCount="277">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</sst>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79.928163078701" createdVersion="3" refreshedVersion="6" minRefreshableVersion="3" recordCount="73" xr:uid="{A95783BA-E37C-3243-928A-FCD4FADA4BF9}">
  <cacheSource type="worksheet">
    <worksheetSource ref="A5:K78" sheet="Paper"/>
  </cacheSource>
  <cacheFields count="11">
    <cacheField name="Arrival" numFmtId="49">
      <sharedItems count="25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370"/>
        <m/>
        <n v="400"/>
        <n v="600"/>
        <n v="330"/>
        <n v="570"/>
        <n v="180"/>
        <n v="70"/>
        <n v="580"/>
        <n v="300"/>
        <n v="500"/>
        <n v="480"/>
        <n v="585"/>
        <n v="380"/>
        <n v="590"/>
        <n v="550"/>
      </sharedItems>
    </cacheField>
    <cacheField name="Remaining" numFmtId="0">
      <sharedItems containsSemiMixedTypes="0" containsString="0" containsNumber="1" containsInteger="1" minValue="0" maxValue="1200" count="18">
        <n v="230"/>
        <n v="600"/>
        <n v="1200"/>
        <n v="200"/>
        <n v="0"/>
        <n v="270"/>
        <n v="300"/>
        <n v="30"/>
        <n v="20"/>
        <n v="130"/>
        <n v="100"/>
        <n v="120"/>
        <n v="60"/>
        <n v="400"/>
        <n v="15"/>
        <n v="80"/>
        <n v="1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9"/>
    <x v="6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10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1"/>
    <x v="11"/>
    <x v="1"/>
    <x v="4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11"/>
    <x v="11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5"/>
    <x v="7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2"/>
    <x v="14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3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14"/>
    <x v="16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5"/>
    <x v="7"/>
    <x v="0"/>
    <x v="14"/>
  </r>
  <r>
    <x v="12"/>
    <x v="0"/>
    <x v="16"/>
    <x v="1"/>
    <x v="0"/>
    <x v="0"/>
    <x v="0"/>
    <x v="15"/>
    <x v="17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3"/>
    <x v="4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10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0"/>
    <x v="10"/>
    <x v="0"/>
    <x v="1"/>
  </r>
  <r>
    <x v="22"/>
    <x v="2"/>
    <x v="3"/>
    <x v="1"/>
    <x v="0"/>
    <x v="0"/>
    <x v="0"/>
    <x v="1"/>
    <x v="1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5"/>
    <x v="0"/>
    <x v="24"/>
  </r>
  <r>
    <x v="23"/>
    <x v="9"/>
    <x v="12"/>
    <x v="1"/>
    <x v="5"/>
    <x v="0"/>
    <x v="6"/>
    <x v="1"/>
    <x v="13"/>
    <x v="0"/>
    <x v="27"/>
  </r>
  <r>
    <x v="24"/>
    <x v="0"/>
    <x v="7"/>
    <x v="1"/>
    <x v="0"/>
    <x v="0"/>
    <x v="0"/>
    <x v="9"/>
    <x v="6"/>
    <x v="0"/>
    <x v="8"/>
  </r>
  <r>
    <x v="24"/>
    <x v="0"/>
    <x v="7"/>
    <x v="1"/>
    <x v="0"/>
    <x v="0"/>
    <x v="0"/>
    <x v="1"/>
    <x v="1"/>
    <x v="0"/>
    <x v="8"/>
  </r>
  <r>
    <x v="24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0545E-8BE1-114A-8356-97658637D14D}" name="PaperPivotTable" cacheId="14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5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7"/>
        <item x="6"/>
        <item x="9"/>
        <item x="4"/>
        <item x="0"/>
        <item x="13"/>
        <item x="2"/>
        <item x="11"/>
        <item x="10"/>
        <item x="15"/>
        <item x="5"/>
        <item x="8"/>
        <item x="12"/>
        <item x="14"/>
        <item x="3"/>
        <item x="1"/>
      </items>
    </pivotField>
    <pivotField dataField="1" showAll="0" defaultSubtotal="0">
      <items count="18">
        <item x="4"/>
        <item x="16"/>
        <item x="14"/>
        <item x="8"/>
        <item x="7"/>
        <item x="17"/>
        <item x="12"/>
        <item x="15"/>
        <item x="10"/>
        <item x="11"/>
        <item x="9"/>
        <item x="3"/>
        <item x="0"/>
        <item x="5"/>
        <item x="6"/>
        <item x="1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9" headerRowDxfId="39" dataDxfId="38" totalsRowDxfId="37">
  <autoFilter ref="A5:K79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72C7F-4E69-F546-BDF8-2F36AB7768DD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</row>
    <row r="3" spans="2:23">
      <c r="B3" s="43"/>
      <c r="C3" s="42">
        <v>40</v>
      </c>
      <c r="D3" s="42">
        <v>90</v>
      </c>
      <c r="E3" s="42">
        <v>100</v>
      </c>
      <c r="F3" s="42">
        <v>115</v>
      </c>
      <c r="G3" s="42">
        <v>120</v>
      </c>
      <c r="H3" s="48">
        <v>125</v>
      </c>
      <c r="I3" s="49"/>
      <c r="J3" s="42">
        <v>130</v>
      </c>
      <c r="K3" s="42">
        <v>135</v>
      </c>
      <c r="L3" s="42">
        <v>140</v>
      </c>
      <c r="M3" s="42">
        <v>150</v>
      </c>
      <c r="N3" s="48">
        <v>155</v>
      </c>
      <c r="O3" s="49"/>
      <c r="P3" s="42">
        <v>160</v>
      </c>
      <c r="Q3" s="42">
        <v>165</v>
      </c>
      <c r="R3" s="42">
        <v>175</v>
      </c>
      <c r="S3" s="48">
        <v>185</v>
      </c>
      <c r="T3" s="49"/>
      <c r="U3" s="48">
        <v>205</v>
      </c>
      <c r="V3" s="49"/>
      <c r="W3" s="42">
        <v>215</v>
      </c>
    </row>
    <row r="4" spans="2:23">
      <c r="B4" s="7" t="s">
        <v>0</v>
      </c>
      <c r="C4" s="42" t="s">
        <v>258</v>
      </c>
      <c r="D4" s="42" t="s">
        <v>258</v>
      </c>
      <c r="E4" s="42" t="s">
        <v>258</v>
      </c>
      <c r="F4" s="42" t="s">
        <v>258</v>
      </c>
      <c r="G4" s="42" t="s">
        <v>258</v>
      </c>
      <c r="H4" s="42" t="s">
        <v>269</v>
      </c>
      <c r="I4" s="42" t="s">
        <v>258</v>
      </c>
      <c r="J4" s="42" t="s">
        <v>258</v>
      </c>
      <c r="K4" s="42" t="s">
        <v>258</v>
      </c>
      <c r="L4" s="42" t="s">
        <v>258</v>
      </c>
      <c r="M4" s="42" t="s">
        <v>258</v>
      </c>
      <c r="N4" s="42" t="s">
        <v>269</v>
      </c>
      <c r="O4" s="42" t="s">
        <v>258</v>
      </c>
      <c r="P4" s="42" t="s">
        <v>258</v>
      </c>
      <c r="Q4" s="42" t="s">
        <v>258</v>
      </c>
      <c r="R4" s="42" t="s">
        <v>258</v>
      </c>
      <c r="S4" s="42" t="s">
        <v>269</v>
      </c>
      <c r="T4" s="42" t="s">
        <v>258</v>
      </c>
      <c r="U4" s="42" t="s">
        <v>269</v>
      </c>
      <c r="V4" s="42" t="s">
        <v>258</v>
      </c>
      <c r="W4" s="42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1030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270</v>
      </c>
      <c r="J14" s="6"/>
      <c r="K14" s="6"/>
      <c r="L14" s="6">
        <v>600</v>
      </c>
      <c r="M14" s="6"/>
      <c r="N14" s="6">
        <v>700</v>
      </c>
      <c r="O14" s="6">
        <v>200</v>
      </c>
      <c r="P14" s="6"/>
      <c r="Q14" s="6">
        <v>2700</v>
      </c>
      <c r="R14" s="6"/>
      <c r="S14" s="6">
        <v>830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9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11" t="s">
        <v>255</v>
      </c>
      <c r="I2" s="52" t="s">
        <v>236</v>
      </c>
      <c r="J2" s="53"/>
      <c r="M2" s="30"/>
      <c r="N2" s="30"/>
      <c r="O2" s="30"/>
      <c r="P2" s="30"/>
    </row>
    <row r="3" spans="1:19" ht="23" thickBot="1">
      <c r="I3" s="50">
        <f>LastSavedTimeStamp()</f>
        <v>44079.691041666665</v>
      </c>
      <c r="J3" s="51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269</v>
      </c>
      <c r="E6" s="17">
        <v>600</v>
      </c>
      <c r="F6" s="17">
        <v>1</v>
      </c>
      <c r="G6" s="17">
        <f t="shared" ref="G6:G29" si="0">F6*E6</f>
        <v>600</v>
      </c>
      <c r="H6" s="17">
        <f>45+118+120+87</f>
        <v>370</v>
      </c>
      <c r="I6" s="17">
        <f t="shared" ref="I6:I65" si="1">G6-H6</f>
        <v>230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269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269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269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6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400</v>
      </c>
      <c r="I17" s="17">
        <f t="shared" si="1"/>
        <v>200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330</v>
      </c>
      <c r="I25" s="17">
        <f t="shared" si="1"/>
        <v>270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269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17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/>
      <c r="I27" s="17">
        <f t="shared" si="1"/>
        <v>600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254</v>
      </c>
      <c r="C28" s="17">
        <v>125</v>
      </c>
      <c r="D28" s="17" t="s">
        <v>269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269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6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300</v>
      </c>
      <c r="I38" s="17">
        <f t="shared" si="1"/>
        <v>300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 t="s">
        <v>215</v>
      </c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269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269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6" t="s">
        <v>265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570</v>
      </c>
      <c r="I62" s="17">
        <f t="shared" si="1"/>
        <v>30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8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267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267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269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270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270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273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/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272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272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272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275</v>
      </c>
      <c r="B76" s="16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300</v>
      </c>
      <c r="I76" s="17">
        <f t="shared" si="11"/>
        <v>300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275</v>
      </c>
      <c r="B77" s="18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/>
      <c r="I77" s="17">
        <f t="shared" si="11"/>
        <v>600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275</v>
      </c>
      <c r="B78" s="18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/>
      <c r="I78" s="17">
        <f t="shared" si="11"/>
        <v>600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/>
      <c r="B79" s="16"/>
      <c r="C79" s="17"/>
      <c r="D79" s="17"/>
      <c r="E79" s="17"/>
      <c r="F79" s="17"/>
      <c r="G79" s="17">
        <f t="shared" si="10"/>
        <v>0</v>
      </c>
      <c r="H79" s="17"/>
      <c r="I79" s="17">
        <f t="shared" si="11"/>
        <v>0</v>
      </c>
      <c r="J79" s="18"/>
      <c r="K79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7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1.89843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44079.691041666665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266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140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271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/>
      <c r="C211" s="28"/>
      <c r="D211" s="28"/>
      <c r="E211" s="28"/>
      <c r="F211" s="23"/>
      <c r="G211" s="28"/>
      <c r="H211" s="29" t="str">
        <f>CONCATENATE(Table1[[#This Row],[Order Code]],Table1[[#This Row],[NAME]])</f>
        <v/>
      </c>
    </row>
    <row r="212" spans="1:8" ht="20">
      <c r="A212" s="27"/>
      <c r="B212" s="28"/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>
        <v>7</v>
      </c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54" t="s">
        <v>234</v>
      </c>
      <c r="B1" s="55"/>
      <c r="C1" s="47" t="s">
        <v>276</v>
      </c>
      <c r="D1" s="47" t="s">
        <v>2</v>
      </c>
      <c r="E1" s="44"/>
    </row>
    <row r="2" spans="1:5" ht="46">
      <c r="A2" s="37">
        <v>44061</v>
      </c>
      <c r="B2" s="46" t="s">
        <v>233</v>
      </c>
    </row>
    <row r="3" spans="1:5" ht="23">
      <c r="A3" s="37">
        <v>44062</v>
      </c>
      <c r="B3" s="45" t="s">
        <v>250</v>
      </c>
    </row>
    <row r="4" spans="1:5" ht="69">
      <c r="A4" s="37">
        <v>44063</v>
      </c>
      <c r="B4" s="45" t="s">
        <v>235</v>
      </c>
    </row>
    <row r="5" spans="1:5" ht="69">
      <c r="A5" s="37">
        <v>44064</v>
      </c>
      <c r="B5" s="45" t="s">
        <v>268</v>
      </c>
    </row>
    <row r="6" spans="1:5" ht="46">
      <c r="B6" s="45" t="s">
        <v>274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2020-09-05T13:16:45Z</dcterms:modified>
</cp:coreProperties>
</file>