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80A8E1EC-33D1-DD46-95AC-733A4DF1F6F1}" xr6:coauthVersionLast="45" xr6:coauthVersionMax="45" xr10:uidLastSave="{00000000-0000-0000-0000-000000000000}"/>
  <bookViews>
    <workbookView xWindow="0" yWindow="460" windowWidth="25600" windowHeight="12400" activeTab="1" xr2:uid="{00000000-000D-0000-FFFF-FFFF00000000}"/>
  </bookViews>
  <sheets>
    <sheet name="PaperSummary" sheetId="226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Paper!$A$5:$J$110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10" i="2" l="1"/>
  <c r="I110" i="2" s="1"/>
  <c r="K110" i="2"/>
  <c r="F3" i="3"/>
  <c r="I3" i="2"/>
  <c r="G109" i="2" l="1"/>
  <c r="I109" i="2" s="1"/>
  <c r="K109" i="2"/>
  <c r="G108" i="2"/>
  <c r="I108" i="2" s="1"/>
  <c r="K108" i="2"/>
  <c r="G107" i="2" l="1"/>
  <c r="I107" i="2" s="1"/>
  <c r="K107" i="2"/>
  <c r="G103" i="2" l="1"/>
  <c r="G106" i="2" l="1"/>
  <c r="I106" i="2" s="1"/>
  <c r="K106" i="2"/>
  <c r="G105" i="2"/>
  <c r="I105" i="2" s="1"/>
  <c r="K105" i="2"/>
  <c r="G104" i="2"/>
  <c r="I104" i="2" s="1"/>
  <c r="K104" i="2"/>
  <c r="I103" i="2"/>
  <c r="K103" i="2"/>
  <c r="G102" i="2"/>
  <c r="I102" i="2" s="1"/>
  <c r="K102" i="2"/>
  <c r="G101" i="2" l="1"/>
  <c r="I101" i="2" s="1"/>
  <c r="K101" i="2"/>
  <c r="G100" i="2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 l="1"/>
  <c r="I95" i="2" s="1"/>
  <c r="K95" i="2"/>
  <c r="G94" i="2"/>
  <c r="K94" i="2"/>
  <c r="G93" i="2"/>
  <c r="I93" i="2" s="1"/>
  <c r="K93" i="2"/>
  <c r="G92" i="2"/>
  <c r="I92" i="2" s="1"/>
  <c r="K92" i="2"/>
  <c r="G91" i="2"/>
  <c r="I91" i="2" s="1"/>
  <c r="K91" i="2"/>
  <c r="I94" i="2" l="1"/>
  <c r="G90" i="2"/>
  <c r="I90" i="2" s="1"/>
  <c r="K90" i="2"/>
  <c r="G89" i="2"/>
  <c r="I89" i="2" s="1"/>
  <c r="K89" i="2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<sst xmlns="http://schemas.openxmlformats.org/spreadsheetml/2006/main" count="850" uniqueCount="297">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</sst>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m/d/yyyy\ h:mm\ AM/PM;@"/>
    <numFmt numFmtId="177" formatCode="[$-409]m/d/yy\ h:mm\ AM/PM;@"/>
    <numFmt numFmtId="178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8" fontId="8" fillId="0" borderId="11" xfId="0" applyNumberFormat="1" applyFont="1" applyBorder="1" applyAlignment="1">
      <alignment horizontal="right" vertical="center"/>
    </xf>
    <xf numFmtId="178" fontId="8" fillId="0" borderId="12" xfId="0" applyNumberFormat="1" applyFont="1" applyBorder="1" applyAlignment="1">
      <alignment horizontal="right"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45.424595949073" createdVersion="3" refreshedVersion="6" minRefreshableVersion="3" recordCount="104" xr:uid="{9B3D3C58-CEF4-7741-8F8D-4312BA38750F}">
  <cacheSource type="worksheet">
    <worksheetSource ref="A5:K109" sheet="Paper"/>
  </cacheSource>
  <cacheFields count="11">
    <cacheField name="Arrival" numFmtId="49">
      <sharedItems count="3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7">
        <n v="600"/>
        <m/>
        <n v="400"/>
        <n v="100"/>
        <n v="500"/>
        <n v="570"/>
        <n v="180"/>
        <n v="70"/>
        <n v="300"/>
        <n v="480"/>
        <n v="580"/>
        <n v="585"/>
        <n v="380"/>
        <n v="590"/>
        <n v="550"/>
        <n v="10"/>
        <n v="150"/>
      </sharedItems>
    </cacheField>
    <cacheField name="Remaining" numFmtId="0">
      <sharedItems containsSemiMixedTypes="0" containsString="0" containsNumber="1" containsInteger="1" minValue="0" maxValue="1200" count="21">
        <n v="0"/>
        <n v="600"/>
        <n v="200"/>
        <n v="1200"/>
        <n v="500"/>
        <n v="100"/>
        <n v="300"/>
        <n v="30"/>
        <n v="20"/>
        <n v="130"/>
        <n v="120"/>
        <n v="60"/>
        <n v="400"/>
        <n v="15"/>
        <n v="80"/>
        <n v="10"/>
        <n v="50"/>
        <n v="290"/>
        <n v="220"/>
        <n v="450"/>
        <n v="3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1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2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2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2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5"/>
    <x v="7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2"/>
    <x v="2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1"/>
    <x v="1"/>
    <x v="0"/>
    <x v="8"/>
  </r>
  <r>
    <x v="29"/>
    <x v="2"/>
    <x v="3"/>
    <x v="1"/>
    <x v="1"/>
    <x v="0"/>
    <x v="2"/>
    <x v="1"/>
    <x v="6"/>
    <x v="0"/>
    <x v="14"/>
  </r>
  <r>
    <x v="30"/>
    <x v="2"/>
    <x v="8"/>
    <x v="1"/>
    <x v="1"/>
    <x v="0"/>
    <x v="2"/>
    <x v="15"/>
    <x v="17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"/>
    <x v="1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"/>
    <x v="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2"/>
    <x v="18"/>
    <x v="0"/>
    <x v="9"/>
  </r>
  <r>
    <x v="33"/>
    <x v="2"/>
    <x v="3"/>
    <x v="1"/>
    <x v="0"/>
    <x v="0"/>
    <x v="0"/>
    <x v="1"/>
    <x v="1"/>
    <x v="0"/>
    <x v="14"/>
  </r>
  <r>
    <x v="34"/>
    <x v="0"/>
    <x v="7"/>
    <x v="1"/>
    <x v="0"/>
    <x v="0"/>
    <x v="0"/>
    <x v="16"/>
    <x v="19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4"/>
    <x v="0"/>
    <x v="30"/>
  </r>
  <r>
    <x v="37"/>
    <x v="11"/>
    <x v="12"/>
    <x v="1"/>
    <x v="7"/>
    <x v="0"/>
    <x v="8"/>
    <x v="1"/>
    <x v="4"/>
    <x v="0"/>
    <x v="30"/>
  </r>
  <r>
    <x v="37"/>
    <x v="11"/>
    <x v="12"/>
    <x v="1"/>
    <x v="8"/>
    <x v="0"/>
    <x v="9"/>
    <x v="1"/>
    <x v="20"/>
    <x v="0"/>
    <x v="30"/>
  </r>
  <r>
    <x v="37"/>
    <x v="11"/>
    <x v="12"/>
    <x v="1"/>
    <x v="8"/>
    <x v="0"/>
    <x v="9"/>
    <x v="1"/>
    <x v="20"/>
    <x v="0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305CBD-53F8-BC48-949A-E3BCD9BB9E01}" name="PaperPivotTable" cacheId="14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38">
        <item x="31"/>
        <item x="32"/>
        <item x="30"/>
        <item x="33"/>
        <item x="34"/>
        <item x="35"/>
        <item x="36"/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7">
        <item x="15"/>
        <item x="7"/>
        <item x="3"/>
        <item x="16"/>
        <item x="6"/>
        <item x="8"/>
        <item x="12"/>
        <item x="2"/>
        <item x="9"/>
        <item x="4"/>
        <item x="14"/>
        <item x="5"/>
        <item x="10"/>
        <item x="11"/>
        <item x="13"/>
        <item x="0"/>
        <item x="1"/>
      </items>
    </pivotField>
    <pivotField dataField="1" showAll="0" defaultSubtotal="0">
      <items count="21">
        <item x="0"/>
        <item x="15"/>
        <item x="13"/>
        <item x="8"/>
        <item x="7"/>
        <item x="16"/>
        <item x="11"/>
        <item x="14"/>
        <item x="5"/>
        <item x="10"/>
        <item x="9"/>
        <item x="2"/>
        <item x="18"/>
        <item x="17"/>
        <item x="6"/>
        <item x="20"/>
        <item x="12"/>
        <item x="19"/>
        <item x="4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1">
        <item x="17"/>
        <item x="22"/>
        <item x="25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10" headerRowDxfId="39" dataDxfId="38" totalsRowDxfId="37">
  <autoFilter ref="A5:K11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C8F9-4870-4B46-A602-C6B07429A336}">
  <dimension ref="B1:X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4.3984375" bestFit="1" customWidth="1"/>
    <col min="16" max="18" width="6.09765625" bestFit="1" customWidth="1"/>
    <col min="19" max="19" width="8.09765625" bestFit="1" customWidth="1"/>
    <col min="20" max="20" width="4.3984375" bestFit="1" customWidth="1"/>
    <col min="21" max="21" width="8.09765625" bestFit="1" customWidth="1"/>
    <col min="22" max="22" width="5.3984375" bestFit="1" customWidth="1"/>
    <col min="23" max="24" width="6.09765625" bestFit="1" customWidth="1"/>
    <col min="25" max="25" width="4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4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09765625" bestFit="1" customWidth="1"/>
    <col min="42" max="42" width="8.3984375" bestFit="1" customWidth="1"/>
    <col min="43" max="43" width="6.3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</row>
    <row r="3" spans="2:24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  <c r="X3" s="52">
        <v>220</v>
      </c>
    </row>
    <row r="4" spans="2:24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2300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1700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600</v>
      </c>
      <c r="J15" s="6"/>
      <c r="K15" s="6"/>
      <c r="L15" s="6">
        <v>600</v>
      </c>
      <c r="M15" s="6"/>
      <c r="N15" s="6">
        <v>630</v>
      </c>
      <c r="O15" s="6">
        <v>220</v>
      </c>
      <c r="P15" s="6"/>
      <c r="Q15" s="6">
        <v>1650</v>
      </c>
      <c r="R15" s="6"/>
      <c r="S15" s="6">
        <v>600</v>
      </c>
      <c r="T15" s="6">
        <v>200</v>
      </c>
      <c r="U15" s="6">
        <v>20</v>
      </c>
      <c r="V15" s="6">
        <v>1100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10"/>
  <sheetViews>
    <sheetView tabSelected="1" zoomScale="107" zoomScaleNormal="107" workbookViewId="0">
      <pane ySplit="5" topLeftCell="A6" activePane="bottomLeft" state="frozen"/>
      <selection pane="bottomLeft" activeCell="K1" sqref="K1:K1048576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254</v>
      </c>
      <c r="I2" s="56" t="s">
        <v>235</v>
      </c>
      <c r="J2" s="57"/>
      <c r="M2" s="30"/>
      <c r="N2" s="30"/>
      <c r="O2" s="30"/>
      <c r="P2" s="30"/>
    </row>
    <row r="3" spans="1:19" ht="23" thickBot="1">
      <c r="I3" s="60">
        <f>LastSavedTimeStamp()</f>
        <v>44145.423645833333</v>
      </c>
      <c r="J3" s="61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f t="shared" si="1"/>
        <v>200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1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18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6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35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570</v>
      </c>
      <c r="I68" s="17">
        <f t="shared" si="4"/>
        <v>30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400</v>
      </c>
      <c r="I72" s="17">
        <f t="shared" si="4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/>
      <c r="I80" s="17">
        <f t="shared" ref="I80:I85" si="8"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277</v>
      </c>
      <c r="B83" s="50" t="s">
        <v>253</v>
      </c>
      <c r="C83" s="48">
        <v>165</v>
      </c>
      <c r="D83" s="48"/>
      <c r="E83" s="48">
        <v>600</v>
      </c>
      <c r="F83" s="48">
        <v>1</v>
      </c>
      <c r="G83" s="17">
        <f t="shared" si="7"/>
        <v>600</v>
      </c>
      <c r="H83" s="48">
        <v>600</v>
      </c>
      <c r="I83" s="17">
        <f t="shared" si="8"/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277</v>
      </c>
      <c r="B84" s="50" t="s">
        <v>253</v>
      </c>
      <c r="C84" s="48">
        <v>140</v>
      </c>
      <c r="D84" s="48"/>
      <c r="E84" s="48">
        <v>600</v>
      </c>
      <c r="F84" s="48">
        <v>1</v>
      </c>
      <c r="G84" s="17">
        <f t="shared" si="7"/>
        <v>600</v>
      </c>
      <c r="H84" s="48">
        <v>600</v>
      </c>
      <c r="I84" s="17">
        <f t="shared" si="8"/>
        <v>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5" si="9">F86*E86</f>
        <v>600</v>
      </c>
      <c r="H86" s="17"/>
      <c r="I86" s="17">
        <f t="shared" ref="I86:I95" si="10"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8" t="s">
        <v>253</v>
      </c>
      <c r="C88" s="17">
        <v>165</v>
      </c>
      <c r="D88" s="17"/>
      <c r="E88" s="17">
        <v>600</v>
      </c>
      <c r="F88" s="17">
        <v>1</v>
      </c>
      <c r="G88" s="17">
        <f t="shared" si="9"/>
        <v>600</v>
      </c>
      <c r="H88" s="17"/>
      <c r="I88" s="17">
        <f t="shared" si="10"/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284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 t="shared" si="9"/>
        <v>300</v>
      </c>
      <c r="H89" s="17"/>
      <c r="I89" s="17">
        <f t="shared" si="10"/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 t="s">
        <v>286</v>
      </c>
      <c r="B90" s="16" t="s">
        <v>12</v>
      </c>
      <c r="C90" s="17">
        <v>140</v>
      </c>
      <c r="D90" s="17"/>
      <c r="E90" s="17">
        <v>300</v>
      </c>
      <c r="F90" s="17">
        <v>1</v>
      </c>
      <c r="G90" s="17">
        <f t="shared" si="9"/>
        <v>300</v>
      </c>
      <c r="H90" s="17">
        <v>10</v>
      </c>
      <c r="I90" s="17">
        <f t="shared" si="10"/>
        <v>290</v>
      </c>
      <c r="J90" s="18"/>
      <c r="K90" s="20" t="str">
        <f>CONCATENATE(Table2[[#This Row],[Specs]],Table2[[#This Row],[Width]],Table2[[#This Row],[Slitting]])</f>
        <v>Nキャスト&lt;73&gt;ME80E140</v>
      </c>
    </row>
    <row r="91" spans="1:11">
      <c r="A91" s="15" t="s">
        <v>287</v>
      </c>
      <c r="B91" s="19" t="s">
        <v>231</v>
      </c>
      <c r="C91" s="17">
        <v>220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N 上質&lt;55&gt;ME 80E220</v>
      </c>
    </row>
    <row r="92" spans="1:11">
      <c r="A92" s="15" t="s">
        <v>288</v>
      </c>
      <c r="B92" s="18" t="s">
        <v>253</v>
      </c>
      <c r="C92" s="17">
        <v>165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8GB165</v>
      </c>
    </row>
    <row r="93" spans="1:11">
      <c r="A93" s="15" t="s">
        <v>288</v>
      </c>
      <c r="B93" s="18" t="s">
        <v>253</v>
      </c>
      <c r="C93" s="17">
        <v>215</v>
      </c>
      <c r="D93" s="17"/>
      <c r="E93" s="17">
        <v>600</v>
      </c>
      <c r="F93" s="17">
        <v>1</v>
      </c>
      <c r="G93" s="17">
        <f t="shared" si="9"/>
        <v>600</v>
      </c>
      <c r="H93" s="17"/>
      <c r="I93" s="17">
        <f t="shared" si="10"/>
        <v>600</v>
      </c>
      <c r="J93" s="18"/>
      <c r="K93" s="20" t="str">
        <f>CONCATENATE(Table2[[#This Row],[Specs]],Table2[[#This Row],[Width]],Table2[[#This Row],[Slitting]])</f>
        <v>y ユポ80 MDN 8GB215</v>
      </c>
    </row>
    <row r="94" spans="1:11">
      <c r="A94" s="15" t="s">
        <v>287</v>
      </c>
      <c r="B94" s="16" t="s">
        <v>231</v>
      </c>
      <c r="C94" s="17">
        <v>220</v>
      </c>
      <c r="D94" s="17"/>
      <c r="E94" s="17">
        <v>500</v>
      </c>
      <c r="F94" s="17">
        <v>1</v>
      </c>
      <c r="G94" s="17">
        <f t="shared" si="9"/>
        <v>500</v>
      </c>
      <c r="H94" s="17">
        <v>400</v>
      </c>
      <c r="I94" s="17">
        <f t="shared" si="10"/>
        <v>100</v>
      </c>
      <c r="J94" s="18"/>
      <c r="K94" s="20" t="str">
        <f>CONCATENATE(Table2[[#This Row],[Specs]],Table2[[#This Row],[Width]],Table2[[#This Row],[Slitting]])</f>
        <v>N 上質&lt;55&gt;ME 80E220</v>
      </c>
    </row>
    <row r="95" spans="1:11">
      <c r="A95" s="15" t="s">
        <v>290</v>
      </c>
      <c r="B95" s="19" t="s">
        <v>253</v>
      </c>
      <c r="C95" s="17">
        <v>155</v>
      </c>
      <c r="D95" s="17"/>
      <c r="E95" s="17">
        <v>600</v>
      </c>
      <c r="F95" s="17">
        <v>1</v>
      </c>
      <c r="G95" s="17">
        <f t="shared" si="9"/>
        <v>600</v>
      </c>
      <c r="H95" s="17">
        <v>600</v>
      </c>
      <c r="I95" s="17">
        <f t="shared" si="10"/>
        <v>0</v>
      </c>
      <c r="J95" s="18"/>
      <c r="K95" s="20" t="str">
        <f>CONCATENATE(Table2[[#This Row],[Specs]],Table2[[#This Row],[Width]],Table2[[#This Row],[Slitting]])</f>
        <v>y ユポ80 MDN 8GB155</v>
      </c>
    </row>
    <row r="96" spans="1:11">
      <c r="A96" s="15" t="s">
        <v>290</v>
      </c>
      <c r="B96" s="18" t="s">
        <v>12</v>
      </c>
      <c r="C96" s="17">
        <v>90</v>
      </c>
      <c r="D96" s="17"/>
      <c r="E96" s="17">
        <v>600</v>
      </c>
      <c r="F96" s="17">
        <v>1</v>
      </c>
      <c r="G96" s="17">
        <f t="shared" ref="G96:G101" si="11">F96*E96</f>
        <v>600</v>
      </c>
      <c r="H96" s="17"/>
      <c r="I96" s="17">
        <f t="shared" ref="I96:I101" si="12">G96-H96</f>
        <v>600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8" t="s">
        <v>12</v>
      </c>
      <c r="C97" s="17">
        <v>90</v>
      </c>
      <c r="D97" s="17"/>
      <c r="E97" s="17">
        <v>600</v>
      </c>
      <c r="F97" s="17">
        <v>1</v>
      </c>
      <c r="G97" s="17">
        <f t="shared" si="11"/>
        <v>600</v>
      </c>
      <c r="H97" s="17"/>
      <c r="I97" s="17">
        <f t="shared" si="12"/>
        <v>600</v>
      </c>
      <c r="J97" s="18"/>
      <c r="K97" s="20" t="str">
        <f>CONCATENATE(Table2[[#This Row],[Specs]],Table2[[#This Row],[Width]],Table2[[#This Row],[Slitting]])</f>
        <v>Nキャスト&lt;73&gt;ME80E90</v>
      </c>
    </row>
    <row r="98" spans="1:11">
      <c r="A98" s="15" t="s">
        <v>290</v>
      </c>
      <c r="B98" s="19" t="s">
        <v>253</v>
      </c>
      <c r="C98" s="17">
        <v>165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8GB165</v>
      </c>
    </row>
    <row r="99" spans="1:11">
      <c r="A99" s="15" t="s">
        <v>290</v>
      </c>
      <c r="B99" s="16" t="s">
        <v>253</v>
      </c>
      <c r="C99" s="17">
        <v>155</v>
      </c>
      <c r="D99" s="17"/>
      <c r="E99" s="17">
        <v>600</v>
      </c>
      <c r="F99" s="17">
        <v>1</v>
      </c>
      <c r="G99" s="17">
        <f t="shared" si="11"/>
        <v>600</v>
      </c>
      <c r="H99" s="17">
        <v>380</v>
      </c>
      <c r="I99" s="17">
        <f t="shared" si="12"/>
        <v>220</v>
      </c>
      <c r="J99" s="18"/>
      <c r="K99" s="20" t="str">
        <f>CONCATENATE(Table2[[#This Row],[Specs]],Table2[[#This Row],[Width]],Table2[[#This Row],[Slitting]])</f>
        <v>y ユポ80 MDN 8GB155</v>
      </c>
    </row>
    <row r="100" spans="1:11">
      <c r="A100" s="15" t="s">
        <v>290</v>
      </c>
      <c r="B100" s="18" t="s">
        <v>12</v>
      </c>
      <c r="C100" s="17">
        <v>90</v>
      </c>
      <c r="D100" s="17"/>
      <c r="E100" s="17">
        <v>600</v>
      </c>
      <c r="F100" s="17">
        <v>1</v>
      </c>
      <c r="G100" s="17">
        <f t="shared" si="11"/>
        <v>600</v>
      </c>
      <c r="H100" s="17"/>
      <c r="I100" s="17">
        <f t="shared" si="12"/>
        <v>600</v>
      </c>
      <c r="J100" s="18"/>
      <c r="K100" s="20" t="str">
        <f>CONCATENATE(Table2[[#This Row],[Specs]],Table2[[#This Row],[Width]],Table2[[#This Row],[Slitting]])</f>
        <v>Nキャスト&lt;73&gt;ME80E90</v>
      </c>
    </row>
    <row r="101" spans="1:11">
      <c r="A101" s="15" t="s">
        <v>291</v>
      </c>
      <c r="B101" s="16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si="11"/>
        <v>600</v>
      </c>
      <c r="H101" s="17">
        <v>150</v>
      </c>
      <c r="I101" s="17">
        <f t="shared" si="12"/>
        <v>450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ref="G102:G107" si="13">F102*E102</f>
        <v>600</v>
      </c>
      <c r="H102" s="17">
        <v>600</v>
      </c>
      <c r="I102" s="17">
        <f t="shared" ref="I102:I107" si="14">G102-H102</f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9" t="s">
        <v>253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8"/>
      <c r="K103" s="20" t="str">
        <f>CONCATENATE(Table2[[#This Row],[Specs]],Table2[[#This Row],[Width]],Table2[[#This Row],[Slitting]])</f>
        <v>y ユポ80 MDN 8GB165</v>
      </c>
    </row>
    <row r="104" spans="1:11">
      <c r="A104" s="15" t="s">
        <v>292</v>
      </c>
      <c r="B104" s="16" t="s">
        <v>253</v>
      </c>
      <c r="C104" s="17">
        <v>185</v>
      </c>
      <c r="D104" s="17" t="s">
        <v>267</v>
      </c>
      <c r="E104" s="17">
        <v>600</v>
      </c>
      <c r="F104" s="17">
        <v>1</v>
      </c>
      <c r="G104" s="17">
        <f t="shared" si="13"/>
        <v>600</v>
      </c>
      <c r="H104" s="17"/>
      <c r="I104" s="17">
        <f t="shared" si="14"/>
        <v>600</v>
      </c>
      <c r="J104" s="18"/>
      <c r="K104" s="20" t="str">
        <f>CONCATENATE(Table2[[#This Row],[Specs]],Table2[[#This Row],[Width]],Table2[[#This Row],[Slitting]])</f>
        <v>y ユポ80 MDN 8GB185i 一本刃</v>
      </c>
    </row>
    <row r="105" spans="1:11">
      <c r="A105" s="15" t="s">
        <v>292</v>
      </c>
      <c r="B105" s="19" t="s">
        <v>253</v>
      </c>
      <c r="C105" s="17">
        <v>165</v>
      </c>
      <c r="D105" s="17"/>
      <c r="E105" s="17">
        <v>600</v>
      </c>
      <c r="F105" s="17">
        <v>1</v>
      </c>
      <c r="G105" s="17">
        <f t="shared" si="13"/>
        <v>600</v>
      </c>
      <c r="H105" s="17">
        <v>600</v>
      </c>
      <c r="I105" s="17">
        <f t="shared" si="14"/>
        <v>0</v>
      </c>
      <c r="J105" s="18"/>
      <c r="K105" s="20" t="str">
        <f>CONCATENATE(Table2[[#This Row],[Specs]],Table2[[#This Row],[Width]],Table2[[#This Row],[Slitting]])</f>
        <v>y ユポ80 MDN 8GB165</v>
      </c>
    </row>
    <row r="106" spans="1:11">
      <c r="A106" s="15" t="s">
        <v>293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500</v>
      </c>
      <c r="F107" s="17">
        <v>1</v>
      </c>
      <c r="G107" s="17">
        <f t="shared" si="13"/>
        <v>500</v>
      </c>
      <c r="H107" s="17"/>
      <c r="I107" s="17">
        <f t="shared" si="14"/>
        <v>500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>F108*E108</f>
        <v>350</v>
      </c>
      <c r="H108" s="17"/>
      <c r="I108" s="17">
        <f>G108-H108</f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>F109*E109</f>
        <v>350</v>
      </c>
      <c r="H109" s="17"/>
      <c r="I109" s="17">
        <f>G109-H109</f>
        <v>350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295</v>
      </c>
      <c r="B110" s="16" t="s">
        <v>294</v>
      </c>
      <c r="C110" s="17">
        <v>100</v>
      </c>
      <c r="D110" s="17"/>
      <c r="E110" s="17">
        <v>350</v>
      </c>
      <c r="F110" s="17">
        <v>1</v>
      </c>
      <c r="G110" s="17">
        <f>F110*E110</f>
        <v>350</v>
      </c>
      <c r="H110" s="17">
        <v>250</v>
      </c>
      <c r="I110" s="17">
        <f>G110-H110</f>
        <v>100</v>
      </c>
      <c r="J110" s="18"/>
      <c r="K110" s="20" t="str">
        <f>CONCATENATE(Table2[[#This Row],[Specs]],Table2[[#This Row],[Width]],Table2[[#This Row],[Slitting]])</f>
        <v>SLアートN/P91/g7B100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D11" sqref="D11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44141.357812499999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8" t="s">
        <v>233</v>
      </c>
      <c r="B1" s="59"/>
      <c r="C1" s="45" t="s">
        <v>273</v>
      </c>
      <c r="D1" s="45" t="s">
        <v>2</v>
      </c>
      <c r="E1" s="42"/>
    </row>
    <row r="2" spans="1:5" ht="46">
      <c r="A2" s="37">
        <v>44061</v>
      </c>
      <c r="B2" s="44" t="s">
        <v>232</v>
      </c>
    </row>
    <row r="3" spans="1:5" ht="23">
      <c r="A3" s="37">
        <v>44062</v>
      </c>
      <c r="B3" s="43" t="s">
        <v>249</v>
      </c>
    </row>
    <row r="4" spans="1:5" ht="69">
      <c r="A4" s="37">
        <v>44063</v>
      </c>
      <c r="B4" s="43" t="s">
        <v>234</v>
      </c>
    </row>
    <row r="5" spans="1:5" ht="69">
      <c r="A5" s="37">
        <v>44064</v>
      </c>
      <c r="B5" s="43" t="s">
        <v>266</v>
      </c>
    </row>
    <row r="6" spans="1:5" ht="46">
      <c r="B6" s="43" t="s">
        <v>271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2020-11-10T01:11:43Z</dcterms:modified>
</cp:coreProperties>
</file>