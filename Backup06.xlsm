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8E02C2CA-FF9C-E546-B191-284B03F96F4F}" xr6:coauthVersionLast="45" xr6:coauthVersionMax="45" xr10:uidLastSave="{00000000-0000-0000-0000-000000000000}"/>
  <bookViews>
    <workbookView xWindow="0" yWindow="500" windowWidth="25600" windowHeight="12760" xr2:uid="{00000000-000D-0000-FFFF-FFFF00000000}"/>
  </bookViews>
  <sheets>
    <sheet name="PaperSummary" sheetId="278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Paper!$A$5:$J$140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8"/>
  </pivotCaches>
</workbook>
</file>

<file path=xl/calcChain.xml><?xml version="1.0" encoding="utf-8"?>
<calcChain xmlns="http://schemas.openxmlformats.org/spreadsheetml/2006/main"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I3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<sst xmlns="http://schemas.openxmlformats.org/spreadsheetml/2006/main" count="927" uniqueCount="320">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</sst>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0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8" fillId="0" borderId="0" xfId="0" applyFont="1"/>
    <xf numFmtId="49" fontId="14" fillId="0" borderId="15" xfId="0" applyNumberFormat="1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9" fillId="5" borderId="0" xfId="0" applyFont="1" applyFill="1" applyAlignment="1">
      <alignment vertical="center"/>
    </xf>
    <xf numFmtId="0" fontId="14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09.470381712963" createdVersion="3" refreshedVersion="6" minRefreshableVersion="3" recordCount="134" xr:uid="{4F29A8DA-20D6-DD44-A609-B3D3E8E987A2}">
  <cacheSource type="worksheet">
    <worksheetSource ref="A5:K139" sheet="Paper"/>
  </cacheSource>
  <cacheFields count="11">
    <cacheField name="Arrival" numFmtId="49">
      <sharedItems count="5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</sharedItems>
    </cacheField>
    <cacheField name="Specs" numFmtId="0">
      <sharedItems count="14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19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450"/>
        <n v="250"/>
        <n v="80"/>
        <n v="550"/>
        <n v="1000"/>
        <n v="2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15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6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7"/>
    <x v="5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3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7"/>
    <x v="5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3"/>
    <x v="4"/>
    <x v="0"/>
    <x v="10"/>
  </r>
  <r>
    <x v="51"/>
    <x v="0"/>
    <x v="6"/>
    <x v="1"/>
    <x v="0"/>
    <x v="0"/>
    <x v="0"/>
    <x v="1"/>
    <x v="1"/>
    <x v="0"/>
    <x v="10"/>
  </r>
  <r>
    <x v="51"/>
    <x v="0"/>
    <x v="7"/>
    <x v="1"/>
    <x v="0"/>
    <x v="0"/>
    <x v="0"/>
    <x v="3"/>
    <x v="4"/>
    <x v="0"/>
    <x v="8"/>
  </r>
  <r>
    <x v="51"/>
    <x v="0"/>
    <x v="8"/>
    <x v="1"/>
    <x v="0"/>
    <x v="0"/>
    <x v="0"/>
    <x v="1"/>
    <x v="1"/>
    <x v="0"/>
    <x v="12"/>
  </r>
  <r>
    <x v="51"/>
    <x v="0"/>
    <x v="7"/>
    <x v="1"/>
    <x v="0"/>
    <x v="0"/>
    <x v="0"/>
    <x v="1"/>
    <x v="1"/>
    <x v="0"/>
    <x v="8"/>
  </r>
  <r>
    <x v="51"/>
    <x v="2"/>
    <x v="10"/>
    <x v="1"/>
    <x v="0"/>
    <x v="0"/>
    <x v="0"/>
    <x v="18"/>
    <x v="11"/>
    <x v="0"/>
    <x v="35"/>
  </r>
  <r>
    <x v="51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04984F-1B2C-DD4A-A889-1CF08437A390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Y18" firstHeaderRow="1" firstDataRow="3" firstDataCol="1"/>
  <pivotFields count="11">
    <pivotField showAll="0" defaultSubtotal="0">
      <items count="52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19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5"/>
        <item x="5"/>
        <item x="18"/>
        <item x="14"/>
        <item x="7"/>
        <item x="11"/>
        <item x="2"/>
        <item x="13"/>
        <item x="8"/>
        <item x="3"/>
        <item x="16"/>
        <item x="4"/>
        <item x="9"/>
        <item x="10"/>
        <item x="0"/>
        <item x="17"/>
        <item x="1"/>
      </items>
    </pivotField>
    <pivotField dataField="1" showAll="0" defaultSubtotal="0">
      <items count="20">
        <item x="0"/>
        <item x="12"/>
        <item x="7"/>
        <item x="6"/>
        <item x="19"/>
        <item x="10"/>
        <item x="13"/>
        <item x="4"/>
        <item x="9"/>
        <item x="8"/>
        <item x="15"/>
        <item x="3"/>
        <item x="14"/>
        <item x="5"/>
        <item x="17"/>
        <item x="11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6"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3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0" headerRowDxfId="39" dataDxfId="38" totalsRowDxfId="37">
  <autoFilter ref="A5:K14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5A6B-3047-054B-96A5-7DD991EC91E4}">
  <dimension ref="B1:Y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11.8984375" bestFit="1" customWidth="1"/>
  </cols>
  <sheetData>
    <row r="1" spans="2:25" ht="7.5" customHeight="1"/>
    <row r="2" spans="2:25">
      <c r="B2" s="7" t="s">
        <v>201</v>
      </c>
      <c r="C2" s="7" t="s">
        <v>197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2:25">
      <c r="B3" s="49"/>
      <c r="C3" s="48">
        <v>40</v>
      </c>
      <c r="D3" s="48">
        <v>90</v>
      </c>
      <c r="E3" s="48">
        <v>100</v>
      </c>
      <c r="F3" s="48">
        <v>115</v>
      </c>
      <c r="G3" s="48">
        <v>120</v>
      </c>
      <c r="H3" s="52">
        <v>125</v>
      </c>
      <c r="I3" s="53"/>
      <c r="J3" s="48">
        <v>130</v>
      </c>
      <c r="K3" s="48">
        <v>135</v>
      </c>
      <c r="L3" s="48">
        <v>140</v>
      </c>
      <c r="M3" s="48">
        <v>150</v>
      </c>
      <c r="N3" s="52">
        <v>155</v>
      </c>
      <c r="O3" s="53"/>
      <c r="P3" s="48">
        <v>160</v>
      </c>
      <c r="Q3" s="48">
        <v>165</v>
      </c>
      <c r="R3" s="48">
        <v>175</v>
      </c>
      <c r="S3" s="52">
        <v>185</v>
      </c>
      <c r="T3" s="53"/>
      <c r="U3" s="52">
        <v>205</v>
      </c>
      <c r="V3" s="53"/>
      <c r="W3" s="48">
        <v>210</v>
      </c>
      <c r="X3" s="48">
        <v>215</v>
      </c>
      <c r="Y3" s="48">
        <v>220</v>
      </c>
    </row>
    <row r="4" spans="2:25">
      <c r="B4" s="7" t="s">
        <v>0</v>
      </c>
      <c r="C4" s="48" t="s">
        <v>257</v>
      </c>
      <c r="D4" s="48" t="s">
        <v>257</v>
      </c>
      <c r="E4" s="48" t="s">
        <v>257</v>
      </c>
      <c r="F4" s="48" t="s">
        <v>257</v>
      </c>
      <c r="G4" s="48" t="s">
        <v>257</v>
      </c>
      <c r="H4" s="48" t="s">
        <v>265</v>
      </c>
      <c r="I4" s="48" t="s">
        <v>257</v>
      </c>
      <c r="J4" s="48" t="s">
        <v>257</v>
      </c>
      <c r="K4" s="48" t="s">
        <v>257</v>
      </c>
      <c r="L4" s="48" t="s">
        <v>257</v>
      </c>
      <c r="M4" s="48" t="s">
        <v>257</v>
      </c>
      <c r="N4" s="48" t="s">
        <v>265</v>
      </c>
      <c r="O4" s="48" t="s">
        <v>257</v>
      </c>
      <c r="P4" s="48" t="s">
        <v>257</v>
      </c>
      <c r="Q4" s="48" t="s">
        <v>257</v>
      </c>
      <c r="R4" s="48" t="s">
        <v>257</v>
      </c>
      <c r="S4" s="48" t="s">
        <v>265</v>
      </c>
      <c r="T4" s="48" t="s">
        <v>257</v>
      </c>
      <c r="U4" s="48" t="s">
        <v>265</v>
      </c>
      <c r="V4" s="48" t="s">
        <v>257</v>
      </c>
      <c r="W4" s="48" t="s">
        <v>257</v>
      </c>
      <c r="X4" s="48" t="s">
        <v>257</v>
      </c>
      <c r="Y4" s="48" t="s">
        <v>257</v>
      </c>
    </row>
    <row r="5" spans="2:25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</row>
    <row r="6" spans="2:25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2:25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</row>
    <row r="8" spans="2:25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</row>
    <row r="9" spans="2:25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</row>
    <row r="10" spans="2:25">
      <c r="B10" s="5" t="s">
        <v>304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</row>
    <row r="11" spans="2:25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</row>
    <row r="12" spans="2:25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</row>
    <row r="13" spans="2:25">
      <c r="B13" s="5" t="s">
        <v>12</v>
      </c>
      <c r="C13" s="6"/>
      <c r="D13" s="6">
        <v>900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</row>
    <row r="14" spans="2:25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</row>
    <row r="15" spans="2:25">
      <c r="B15" s="5" t="s">
        <v>290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</row>
    <row r="16" spans="2:25">
      <c r="B16" s="5" t="s">
        <v>305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</row>
    <row r="17" spans="2:25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700</v>
      </c>
      <c r="J17" s="6"/>
      <c r="K17" s="6"/>
      <c r="L17" s="6">
        <v>900</v>
      </c>
      <c r="M17" s="6"/>
      <c r="N17" s="6">
        <v>1200</v>
      </c>
      <c r="O17" s="6">
        <v>0</v>
      </c>
      <c r="P17" s="6"/>
      <c r="Q17" s="6">
        <v>1300</v>
      </c>
      <c r="R17" s="6"/>
      <c r="S17" s="6">
        <v>150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</row>
    <row r="18" spans="2:25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0"/>
  <sheetViews>
    <sheetView zoomScale="150" zoomScaleNormal="15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8"/>
      <c r="N1" s="28"/>
      <c r="O1" s="28"/>
      <c r="P1" s="28"/>
    </row>
    <row r="2" spans="1:19" ht="22">
      <c r="A2" s="10"/>
      <c r="B2" s="38" t="s">
        <v>254</v>
      </c>
      <c r="I2" s="56" t="s">
        <v>235</v>
      </c>
      <c r="J2" s="57"/>
      <c r="M2" s="28"/>
      <c r="N2" s="28"/>
      <c r="O2" s="28"/>
      <c r="P2" s="28"/>
    </row>
    <row r="3" spans="1:19" ht="23" thickBot="1">
      <c r="I3" s="54">
        <f>LastSavedTimeStamp()</f>
        <v>44203.885324074072</v>
      </c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253</v>
      </c>
      <c r="C6" s="17">
        <v>185</v>
      </c>
      <c r="D6" s="17" t="s">
        <v>265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253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>
      <c r="A8" s="15" t="s">
        <v>5</v>
      </c>
      <c r="B8" s="17" t="s">
        <v>253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253</v>
      </c>
      <c r="C9" s="17">
        <v>185</v>
      </c>
      <c r="D9" s="17" t="s">
        <v>265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>
      <c r="A10" s="15" t="s">
        <v>7</v>
      </c>
      <c r="B10" s="17" t="s">
        <v>258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>
      <c r="A11" s="15" t="s">
        <v>8</v>
      </c>
      <c r="B11" s="17" t="s">
        <v>253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>
      <c r="A12" s="15" t="s">
        <v>9</v>
      </c>
      <c r="B12" s="17" t="s">
        <v>253</v>
      </c>
      <c r="C12" s="17">
        <v>155</v>
      </c>
      <c r="D12" s="17" t="s">
        <v>265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253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253</v>
      </c>
      <c r="C15" s="17">
        <v>125</v>
      </c>
      <c r="D15" s="17" t="s">
        <v>265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253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8" t="s">
        <v>253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8" t="s">
        <v>253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7" t="s">
        <v>253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7" t="s">
        <v>258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8" t="s">
        <v>253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253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253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500</v>
      </c>
      <c r="I23" s="17">
        <f t="shared" si="1"/>
        <v>100</v>
      </c>
      <c r="J23" s="17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8" t="s">
        <v>253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253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258</v>
      </c>
      <c r="C26" s="17">
        <v>125</v>
      </c>
      <c r="D26" s="17" t="s">
        <v>265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196</v>
      </c>
      <c r="B27" s="18" t="s">
        <v>253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253</v>
      </c>
      <c r="C28" s="17">
        <v>125</v>
      </c>
      <c r="D28" s="17" t="s">
        <v>265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253</v>
      </c>
      <c r="C29" s="17">
        <v>125</v>
      </c>
      <c r="D29" s="17" t="s">
        <v>265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8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196</v>
      </c>
      <c r="B37" s="18" t="s">
        <v>253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196</v>
      </c>
      <c r="B39" s="16" t="s">
        <v>253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196</v>
      </c>
      <c r="B41" s="17" t="s">
        <v>259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196</v>
      </c>
      <c r="B42" s="16" t="s">
        <v>253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196</v>
      </c>
      <c r="B43" s="16" t="s">
        <v>258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196</v>
      </c>
      <c r="B44" s="16" t="s">
        <v>258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196</v>
      </c>
      <c r="B45" s="16" t="s">
        <v>258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196</v>
      </c>
      <c r="B46" s="16" t="s">
        <v>258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>
      <c r="A48" s="15" t="s">
        <v>218</v>
      </c>
      <c r="B48" s="16" t="s">
        <v>253</v>
      </c>
      <c r="C48" s="17">
        <v>205</v>
      </c>
      <c r="D48" s="17" t="s">
        <v>265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>
      <c r="A50" s="15" t="s">
        <v>218</v>
      </c>
      <c r="B50" s="18" t="s">
        <v>253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>
      <c r="A52" s="15" t="s">
        <v>218</v>
      </c>
      <c r="B52" s="17" t="s">
        <v>260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>
      <c r="A53" s="15" t="s">
        <v>223</v>
      </c>
      <c r="B53" s="16" t="s">
        <v>260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253</v>
      </c>
      <c r="C54" s="17">
        <v>125</v>
      </c>
      <c r="D54" s="17" t="s">
        <v>265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218</v>
      </c>
      <c r="B59" s="18" t="s">
        <v>261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>
      <c r="A60" s="15" t="s">
        <v>226</v>
      </c>
      <c r="B60" s="18" t="s">
        <v>253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>
      <c r="A61" s="15" t="s">
        <v>227</v>
      </c>
      <c r="B61" s="50" t="s">
        <v>253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>
      <c r="A63" s="15" t="s">
        <v>218</v>
      </c>
      <c r="B63" s="18" t="s">
        <v>253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8" t="s">
        <v>253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8" t="s">
        <v>253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>
      <c r="A66" s="15" t="s">
        <v>263</v>
      </c>
      <c r="B66" s="18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>
      <c r="A67" s="15" t="s">
        <v>263</v>
      </c>
      <c r="B67" s="18" t="s">
        <v>253</v>
      </c>
      <c r="C67" s="17">
        <v>185</v>
      </c>
      <c r="D67" s="17" t="s">
        <v>265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>
      <c r="A68" s="15" t="s">
        <v>196</v>
      </c>
      <c r="B68" s="18" t="s">
        <v>253</v>
      </c>
      <c r="C68" s="17">
        <v>155</v>
      </c>
      <c r="D68" s="17" t="s">
        <v>265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>
      <c r="A69" s="15" t="s">
        <v>266</v>
      </c>
      <c r="B69" s="18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266</v>
      </c>
      <c r="B70" s="18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>
      <c r="A71" s="15" t="s">
        <v>196</v>
      </c>
      <c r="B71" s="18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>
      <c r="A72" s="15" t="s">
        <v>268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>
      <c r="A73" s="15" t="s">
        <v>267</v>
      </c>
      <c r="B73" s="18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>
      <c r="A74" s="15" t="s">
        <v>267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267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270</v>
      </c>
      <c r="B76" s="18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>
      <c r="A77" s="15" t="s">
        <v>270</v>
      </c>
      <c r="B77" s="18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>
      <c r="A78" s="15" t="s">
        <v>270</v>
      </c>
      <c r="B78" s="18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272</v>
      </c>
      <c r="B80" s="18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>
      <c r="A81" s="15" t="s">
        <v>274</v>
      </c>
      <c r="B81" s="18" t="s">
        <v>275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>
      <c r="A82" s="15" t="s">
        <v>274</v>
      </c>
      <c r="B82" s="18" t="s">
        <v>275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>
      <c r="A83" s="39" t="s">
        <v>273</v>
      </c>
      <c r="B83" s="41" t="s">
        <v>253</v>
      </c>
      <c r="C83" s="51">
        <v>165</v>
      </c>
      <c r="D83" s="51"/>
      <c r="E83" s="51">
        <v>600</v>
      </c>
      <c r="F83" s="51">
        <v>1</v>
      </c>
      <c r="G83" s="17">
        <f t="shared" si="7"/>
        <v>600</v>
      </c>
      <c r="H83" s="51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>
      <c r="A84" s="39" t="s">
        <v>273</v>
      </c>
      <c r="B84" s="41" t="s">
        <v>253</v>
      </c>
      <c r="C84" s="51">
        <v>140</v>
      </c>
      <c r="D84" s="51"/>
      <c r="E84" s="51">
        <v>600</v>
      </c>
      <c r="F84" s="51">
        <v>1</v>
      </c>
      <c r="G84" s="17">
        <f t="shared" si="7"/>
        <v>600</v>
      </c>
      <c r="H84" s="51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>
      <c r="A85" s="15" t="s">
        <v>276</v>
      </c>
      <c r="B85" s="18" t="s">
        <v>277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>
      <c r="A86" s="15" t="s">
        <v>278</v>
      </c>
      <c r="B86" s="18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>
      <c r="A87" s="15" t="s">
        <v>280</v>
      </c>
      <c r="B87" s="18" t="s">
        <v>281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>
      <c r="A88" s="15" t="s">
        <v>280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>
      <c r="A89" s="15" t="s">
        <v>282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>
      <c r="A90" s="15" t="s">
        <v>283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>
      <c r="A91" s="15" t="s">
        <v>284</v>
      </c>
      <c r="B91" s="18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>
      <c r="A92" s="15" t="s">
        <v>284</v>
      </c>
      <c r="B92" s="17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>
      <c r="A93" s="15" t="s">
        <v>283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>
      <c r="A94" s="15" t="s">
        <v>286</v>
      </c>
      <c r="B94" s="18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>
      <c r="A95" s="15" t="s">
        <v>286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>
      <c r="A96" s="15" t="s">
        <v>286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300</v>
      </c>
      <c r="I96" s="17">
        <f t="shared" si="12"/>
        <v>300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>
      <c r="A97" s="15" t="s">
        <v>286</v>
      </c>
      <c r="B97" s="18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>
      <c r="A98" s="15" t="s">
        <v>286</v>
      </c>
      <c r="B98" s="18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>
      <c r="A99" s="15" t="s">
        <v>286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>
      <c r="A100" s="15" t="s">
        <v>287</v>
      </c>
      <c r="B100" s="18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>
      <c r="A101" s="15" t="s">
        <v>287</v>
      </c>
      <c r="B101" s="18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288</v>
      </c>
      <c r="B102" s="18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>
      <c r="A103" s="15" t="s">
        <v>288</v>
      </c>
      <c r="B103" s="16" t="s">
        <v>253</v>
      </c>
      <c r="C103" s="17">
        <v>185</v>
      </c>
      <c r="D103" s="17" t="s">
        <v>265</v>
      </c>
      <c r="E103" s="17">
        <v>600</v>
      </c>
      <c r="F103" s="17">
        <v>1</v>
      </c>
      <c r="G103" s="17">
        <f t="shared" si="13"/>
        <v>600</v>
      </c>
      <c r="H103" s="17">
        <v>450</v>
      </c>
      <c r="I103" s="17">
        <f t="shared" si="14"/>
        <v>150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>
      <c r="A104" s="15" t="s">
        <v>288</v>
      </c>
      <c r="B104" s="18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>
      <c r="A105" s="15" t="s">
        <v>289</v>
      </c>
      <c r="B105" s="16" t="s">
        <v>290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>
      <c r="A106" s="15" t="s">
        <v>291</v>
      </c>
      <c r="B106" s="16" t="s">
        <v>290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>
      <c r="A107" s="15" t="s">
        <v>291</v>
      </c>
      <c r="B107" s="16" t="s">
        <v>290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>
      <c r="A108" s="15" t="s">
        <v>291</v>
      </c>
      <c r="B108" s="16" t="s">
        <v>290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>
      <c r="A109" s="15" t="s">
        <v>291</v>
      </c>
      <c r="B109" s="16" t="s">
        <v>290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>
      <c r="A110" s="15" t="s">
        <v>293</v>
      </c>
      <c r="B110" s="16" t="s">
        <v>294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>
      <c r="A111" s="15" t="s">
        <v>293</v>
      </c>
      <c r="B111" s="16" t="s">
        <v>294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>
      <c r="A112" s="15" t="s">
        <v>296</v>
      </c>
      <c r="B112" s="18" t="s">
        <v>253</v>
      </c>
      <c r="C112" s="17">
        <v>185</v>
      </c>
      <c r="D112" s="17" t="s">
        <v>265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>
      <c r="A113" s="15" t="s">
        <v>297</v>
      </c>
      <c r="B113" s="18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>
      <c r="A114" s="15" t="s">
        <v>297</v>
      </c>
      <c r="B114" s="18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>
      <c r="A115" s="15" t="s">
        <v>297</v>
      </c>
      <c r="B115" s="18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>
      <c r="A116" s="15" t="s">
        <v>297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>
      <c r="A117" s="15" t="s">
        <v>298</v>
      </c>
      <c r="B117" s="18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>
      <c r="A118" s="15" t="s">
        <v>298</v>
      </c>
      <c r="B118" s="18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>
      <c r="A119" s="15" t="s">
        <v>298</v>
      </c>
      <c r="B119" s="18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299</v>
      </c>
      <c r="B120" s="18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>
      <c r="A121" s="15" t="s">
        <v>299</v>
      </c>
      <c r="B121" s="17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299</v>
      </c>
      <c r="B122" s="18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>
      <c r="A123" s="15" t="s">
        <v>300</v>
      </c>
      <c r="B123" s="18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>
      <c r="A124" s="15" t="s">
        <v>300</v>
      </c>
      <c r="B124" s="18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>
      <c r="A125" s="15" t="s">
        <v>301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300</v>
      </c>
      <c r="I125" s="17">
        <f t="shared" si="20"/>
        <v>300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>
      <c r="A126" s="15" t="s">
        <v>302</v>
      </c>
      <c r="B126" s="17" t="s">
        <v>304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>
      <c r="A127" s="15" t="s">
        <v>303</v>
      </c>
      <c r="B127" s="18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>
      <c r="A128" s="15" t="s">
        <v>303</v>
      </c>
      <c r="B128" s="16" t="s">
        <v>305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>
      <c r="A129" s="15" t="s">
        <v>306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>
      <c r="A130" s="15" t="s">
        <v>307</v>
      </c>
      <c r="B130" s="16" t="s">
        <v>253</v>
      </c>
      <c r="C130" s="17">
        <v>155</v>
      </c>
      <c r="D130" s="17" t="s">
        <v>265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>
      <c r="A131" s="15" t="s">
        <v>308</v>
      </c>
      <c r="B131" s="18" t="s">
        <v>253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308</v>
      </c>
      <c r="B132" s="16" t="s">
        <v>253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317</v>
      </c>
      <c r="B133" s="16" t="s">
        <v>253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500</v>
      </c>
      <c r="I133" s="17">
        <f t="shared" si="22"/>
        <v>100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318</v>
      </c>
      <c r="B134" s="16" t="s">
        <v>253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/>
      <c r="I134" s="17">
        <f t="shared" ref="I134:I140" si="24">G134-H134</f>
        <v>600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319</v>
      </c>
    </row>
    <row r="135" spans="1:13">
      <c r="A135" s="15" t="s">
        <v>318</v>
      </c>
      <c r="B135" s="16" t="s">
        <v>253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500</v>
      </c>
      <c r="I135" s="17">
        <f t="shared" si="24"/>
        <v>100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>
      <c r="A136" s="15" t="s">
        <v>318</v>
      </c>
      <c r="B136" s="16" t="s">
        <v>253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/>
      <c r="I136" s="17">
        <f t="shared" si="24"/>
        <v>600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>
      <c r="A137" s="15" t="s">
        <v>318</v>
      </c>
      <c r="B137" s="16" t="s">
        <v>253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/>
      <c r="I137" s="17">
        <f t="shared" si="24"/>
        <v>600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>
      <c r="A138" s="15" t="s">
        <v>318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>
      <c r="A139" s="15" t="s">
        <v>318</v>
      </c>
      <c r="B139" s="16" t="s">
        <v>253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/>
      <c r="I139" s="17">
        <f t="shared" si="24"/>
        <v>600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>
      <c r="A140" s="15"/>
      <c r="B140" s="16"/>
      <c r="C140" s="17"/>
      <c r="D140" s="17"/>
      <c r="E140" s="17"/>
      <c r="F140" s="17"/>
      <c r="G140" s="17">
        <f t="shared" si="23"/>
        <v>0</v>
      </c>
      <c r="H140" s="17"/>
      <c r="I140" s="17">
        <f t="shared" si="24"/>
        <v>0</v>
      </c>
      <c r="J140" s="17"/>
      <c r="K140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255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44201.337233796294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285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262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237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248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243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236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240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237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238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239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241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242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244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245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246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247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292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271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279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279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279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295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310</v>
      </c>
      <c r="B1" s="47" t="s">
        <v>311</v>
      </c>
      <c r="C1" s="47" t="s">
        <v>313</v>
      </c>
    </row>
    <row r="2" spans="1:3">
      <c r="A2" s="46">
        <v>44189</v>
      </c>
      <c r="B2" t="s">
        <v>312</v>
      </c>
      <c r="C2" t="s">
        <v>314</v>
      </c>
    </row>
    <row r="3" spans="1:3">
      <c r="A3" s="46">
        <v>44190</v>
      </c>
      <c r="B3" t="s">
        <v>312</v>
      </c>
      <c r="C3" t="s">
        <v>315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7"/>
  <sheetViews>
    <sheetView zoomScaleNormal="100" workbookViewId="0">
      <selection activeCell="B8" sqref="B8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8" t="s">
        <v>233</v>
      </c>
      <c r="B1" s="59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249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264</v>
      </c>
    </row>
    <row r="6" spans="1:2" ht="23">
      <c r="B6" s="36" t="s">
        <v>269</v>
      </c>
    </row>
    <row r="7" spans="1:2" ht="46">
      <c r="A7" s="35" t="s">
        <v>309</v>
      </c>
      <c r="B7" s="34" t="s">
        <v>316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2021-01-13T02:17:25Z</dcterms:modified>
</cp:coreProperties>
</file>