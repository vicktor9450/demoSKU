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2010FDD-DB79-0442-B7E4-4D356BBD12AA}" xr6:coauthVersionLast="45" xr6:coauthVersionMax="45" xr10:uidLastSave="{00000000-0000-0000-0000-000000000000}"/>
  <bookViews>
    <workbookView xWindow="0" yWindow="500" windowWidth="38560" windowHeight="26580" xr2:uid="{00000000-000D-0000-FFFF-FFFF00000000}"/>
  </bookViews>
  <sheets>
    <sheet name="PaperSummary" sheetId="316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Paper!$A$5:$J$158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58" i="2" l="1"/>
  <c r="I158" i="2" s="1"/>
  <c r="K158" i="2"/>
  <c r="B1" i="316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<sst xmlns="http://schemas.openxmlformats.org/spreadsheetml/2006/main" count="966" uniqueCount="330">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</sst>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2.351112384262" createdVersion="3" refreshedVersion="6" minRefreshableVersion="3" recordCount="152" xr:uid="{1A34404F-0190-4540-B437-A4F987F0F001}">
  <cacheSource type="worksheet">
    <worksheetSource ref="A5:K157" sheet="Paper"/>
  </cacheSource>
  <cacheFields count="11">
    <cacheField name="Arrival" numFmtId="49">
      <sharedItems count="6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21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100"/>
        <n v="200"/>
        <n v="320"/>
        <n v="12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28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4"/>
    <x v="5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7"/>
    <x v="16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4"/>
    <x v="17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19"/>
    <x v="19"/>
    <x v="0"/>
    <x v="5"/>
  </r>
  <r>
    <x v="58"/>
    <x v="3"/>
    <x v="19"/>
    <x v="1"/>
    <x v="2"/>
    <x v="0"/>
    <x v="3"/>
    <x v="1"/>
    <x v="3"/>
    <x v="0"/>
    <x v="37"/>
  </r>
  <r>
    <x v="58"/>
    <x v="3"/>
    <x v="19"/>
    <x v="1"/>
    <x v="5"/>
    <x v="0"/>
    <x v="6"/>
    <x v="1"/>
    <x v="12"/>
    <x v="0"/>
    <x v="37"/>
  </r>
  <r>
    <x v="59"/>
    <x v="0"/>
    <x v="0"/>
    <x v="0"/>
    <x v="0"/>
    <x v="0"/>
    <x v="0"/>
    <x v="17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3"/>
    <x v="16"/>
    <x v="1"/>
    <x v="1"/>
    <x v="0"/>
    <x v="2"/>
    <x v="20"/>
    <x v="20"/>
    <x v="0"/>
    <x v="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201C01-40B6-4348-8686-9DCA9D126F89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1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13"/>
        <item x="7"/>
        <item x="15"/>
        <item x="17"/>
        <item x="20"/>
        <item x="6"/>
        <item x="18"/>
        <item x="14"/>
        <item x="8"/>
        <item x="19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21">
        <item x="0"/>
        <item x="13"/>
        <item x="8"/>
        <item x="7"/>
        <item x="4"/>
        <item x="11"/>
        <item x="14"/>
        <item x="5"/>
        <item x="10"/>
        <item x="9"/>
        <item x="20"/>
        <item x="3"/>
        <item x="19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8" headerRowDxfId="39" dataDxfId="38" totalsRowDxfId="37">
  <autoFilter ref="A5:K15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916DE-7305-1240-BA28-5FE940B1417C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15" sqref="B1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4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4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44232.351099537038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255</v>
      </c>
      <c r="D4" s="51" t="s">
        <v>255</v>
      </c>
      <c r="E4" s="51" t="s">
        <v>255</v>
      </c>
      <c r="F4" s="51" t="s">
        <v>255</v>
      </c>
      <c r="G4" s="51" t="s">
        <v>255</v>
      </c>
      <c r="H4" s="51" t="s">
        <v>255</v>
      </c>
      <c r="I4" s="51" t="s">
        <v>263</v>
      </c>
      <c r="J4" s="51" t="s">
        <v>255</v>
      </c>
      <c r="K4" s="51" t="s">
        <v>255</v>
      </c>
      <c r="L4" s="51" t="s">
        <v>255</v>
      </c>
      <c r="M4" s="51" t="s">
        <v>255</v>
      </c>
      <c r="N4" s="51" t="s">
        <v>255</v>
      </c>
      <c r="O4" s="51" t="s">
        <v>263</v>
      </c>
      <c r="P4" s="51" t="s">
        <v>255</v>
      </c>
      <c r="Q4" s="51" t="s">
        <v>255</v>
      </c>
      <c r="R4" s="51" t="s">
        <v>255</v>
      </c>
      <c r="S4" s="51" t="s">
        <v>255</v>
      </c>
      <c r="T4" s="51" t="s">
        <v>263</v>
      </c>
      <c r="U4" s="51" t="s">
        <v>255</v>
      </c>
      <c r="V4" s="51" t="s">
        <v>263</v>
      </c>
      <c r="W4" s="51" t="s">
        <v>255</v>
      </c>
      <c r="X4" s="51" t="s">
        <v>255</v>
      </c>
      <c r="Y4" s="51" t="s">
        <v>255</v>
      </c>
      <c r="Z4" s="51" t="s">
        <v>255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256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259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302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327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288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303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251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800</v>
      </c>
      <c r="K17" s="6"/>
      <c r="L17" s="6"/>
      <c r="M17" s="6">
        <v>0</v>
      </c>
      <c r="N17" s="6"/>
      <c r="O17" s="6">
        <v>280</v>
      </c>
      <c r="P17" s="6">
        <v>1100</v>
      </c>
      <c r="Q17" s="6"/>
      <c r="R17" s="6">
        <v>1550</v>
      </c>
      <c r="S17" s="6"/>
      <c r="T17" s="6">
        <v>500</v>
      </c>
      <c r="U17" s="6">
        <v>100</v>
      </c>
      <c r="V17" s="6">
        <v>20</v>
      </c>
      <c r="W17" s="6">
        <v>650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8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252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249</v>
      </c>
      <c r="B5" s="11" t="s">
        <v>0</v>
      </c>
      <c r="C5" s="13" t="s">
        <v>197</v>
      </c>
      <c r="D5" s="13" t="s">
        <v>254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250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251</v>
      </c>
      <c r="C6" s="17">
        <v>185</v>
      </c>
      <c r="D6" s="17" t="s">
        <v>263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251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251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251</v>
      </c>
      <c r="C9" s="17">
        <v>185</v>
      </c>
      <c r="D9" s="17" t="s">
        <v>263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256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251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251</v>
      </c>
      <c r="C12" s="17">
        <v>155</v>
      </c>
      <c r="D12" s="17" t="s">
        <v>263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251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251</v>
      </c>
      <c r="C15" s="17">
        <v>125</v>
      </c>
      <c r="D15" s="17" t="s">
        <v>263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251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251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251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251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256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251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251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251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251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251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256</v>
      </c>
      <c r="C26" s="17">
        <v>125</v>
      </c>
      <c r="D26" s="17" t="s">
        <v>263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251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251</v>
      </c>
      <c r="C28" s="17">
        <v>125</v>
      </c>
      <c r="D28" s="17" t="s">
        <v>263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251</v>
      </c>
      <c r="C29" s="17">
        <v>125</v>
      </c>
      <c r="D29" s="17" t="s">
        <v>263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327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251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327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327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327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327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251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251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257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251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256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256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256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256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251</v>
      </c>
      <c r="C48" s="17">
        <v>205</v>
      </c>
      <c r="D48" s="17" t="s">
        <v>263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327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251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258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258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251</v>
      </c>
      <c r="C54" s="17">
        <v>125</v>
      </c>
      <c r="D54" s="17" t="s">
        <v>263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259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251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251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251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248</v>
      </c>
      <c r="B63" s="18" t="s">
        <v>251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248</v>
      </c>
      <c r="B64" s="18" t="s">
        <v>251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261</v>
      </c>
      <c r="B65" s="18" t="s">
        <v>251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261</v>
      </c>
      <c r="B66" s="18" t="s">
        <v>251</v>
      </c>
      <c r="C66" s="17">
        <v>185</v>
      </c>
      <c r="D66" s="17" t="s">
        <v>263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251</v>
      </c>
      <c r="C67" s="17">
        <v>155</v>
      </c>
      <c r="D67" s="17" t="s">
        <v>263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264</v>
      </c>
      <c r="B68" s="18" t="s">
        <v>251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264</v>
      </c>
      <c r="B69" s="18" t="s">
        <v>251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251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266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265</v>
      </c>
      <c r="B72" s="18" t="s">
        <v>251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265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265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268</v>
      </c>
      <c r="B75" s="18" t="s">
        <v>251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268</v>
      </c>
      <c r="B76" s="18" t="s">
        <v>251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268</v>
      </c>
      <c r="B77" s="18" t="s">
        <v>251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270</v>
      </c>
      <c r="B79" s="18" t="s">
        <v>251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272</v>
      </c>
      <c r="B80" s="18" t="s">
        <v>273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272</v>
      </c>
      <c r="B81" s="18" t="s">
        <v>273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271</v>
      </c>
      <c r="B82" s="41" t="s">
        <v>251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271</v>
      </c>
      <c r="B83" s="41" t="s">
        <v>251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274</v>
      </c>
      <c r="B84" s="18" t="s">
        <v>275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276</v>
      </c>
      <c r="B85" s="18" t="s">
        <v>251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278</v>
      </c>
      <c r="B86" s="18" t="s">
        <v>279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278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280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281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282</v>
      </c>
      <c r="B90" s="18" t="s">
        <v>251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282</v>
      </c>
      <c r="B91" s="17" t="s">
        <v>251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281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284</v>
      </c>
      <c r="B93" s="18" t="s">
        <v>251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284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284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284</v>
      </c>
      <c r="B96" s="18" t="s">
        <v>251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284</v>
      </c>
      <c r="B97" s="18" t="s">
        <v>251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284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285</v>
      </c>
      <c r="B99" s="18" t="s">
        <v>251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285</v>
      </c>
      <c r="B100" s="18" t="s">
        <v>251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251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286</v>
      </c>
      <c r="B102" s="16" t="s">
        <v>251</v>
      </c>
      <c r="C102" s="17">
        <v>185</v>
      </c>
      <c r="D102" s="17" t="s">
        <v>263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286</v>
      </c>
      <c r="B103" s="18" t="s">
        <v>251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287</v>
      </c>
      <c r="B104" s="16" t="s">
        <v>288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289</v>
      </c>
      <c r="B105" s="16" t="s">
        <v>288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289</v>
      </c>
      <c r="B106" s="16" t="s">
        <v>288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289</v>
      </c>
      <c r="B107" s="16" t="s">
        <v>288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289</v>
      </c>
      <c r="B108" s="16" t="s">
        <v>288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291</v>
      </c>
      <c r="B109" s="16" t="s">
        <v>292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291</v>
      </c>
      <c r="B110" s="16" t="s">
        <v>292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294</v>
      </c>
      <c r="B111" s="18" t="s">
        <v>251</v>
      </c>
      <c r="C111" s="17">
        <v>185</v>
      </c>
      <c r="D111" s="17" t="s">
        <v>263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295</v>
      </c>
      <c r="B112" s="18" t="s">
        <v>251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295</v>
      </c>
      <c r="B113" s="18" t="s">
        <v>251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295</v>
      </c>
      <c r="B114" s="18" t="s">
        <v>259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295</v>
      </c>
      <c r="B115" s="16" t="s">
        <v>259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8" t="s">
        <v>251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296</v>
      </c>
      <c r="B117" s="18" t="s">
        <v>251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296</v>
      </c>
      <c r="B118" s="18" t="s">
        <v>251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251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297</v>
      </c>
      <c r="B120" s="17" t="s">
        <v>251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500</v>
      </c>
      <c r="I120" s="17">
        <f t="shared" ref="I120:I126" si="20">G120-H120</f>
        <v>100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297</v>
      </c>
      <c r="B121" s="18" t="s">
        <v>251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298</v>
      </c>
      <c r="B122" s="18" t="s">
        <v>251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298</v>
      </c>
      <c r="B123" s="18" t="s">
        <v>251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6" t="s">
        <v>251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300</v>
      </c>
      <c r="B125" s="17" t="s">
        <v>302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301</v>
      </c>
      <c r="B126" s="18" t="s">
        <v>251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301</v>
      </c>
      <c r="B127" s="16" t="s">
        <v>303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304</v>
      </c>
      <c r="B128" s="16" t="s">
        <v>251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305</v>
      </c>
      <c r="B129" s="16" t="s">
        <v>251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100</v>
      </c>
      <c r="I129" s="17">
        <f t="shared" si="22"/>
        <v>500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306</v>
      </c>
      <c r="B130" s="18" t="s">
        <v>251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306</v>
      </c>
      <c r="B131" s="16" t="s">
        <v>251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315</v>
      </c>
      <c r="B132" s="16" t="s">
        <v>251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316</v>
      </c>
      <c r="B133" s="16" t="s">
        <v>251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400</v>
      </c>
      <c r="I133" s="17">
        <f t="shared" ref="I133:I139" si="24">G133-H133</f>
        <v>200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317</v>
      </c>
    </row>
    <row r="134" spans="1:13">
      <c r="A134" s="15" t="s">
        <v>316</v>
      </c>
      <c r="B134" s="16" t="s">
        <v>251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316</v>
      </c>
      <c r="B135" s="16" t="s">
        <v>251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316</v>
      </c>
      <c r="B136" s="16" t="s">
        <v>251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316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316</v>
      </c>
      <c r="B138" s="16" t="s">
        <v>251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319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320</v>
      </c>
      <c r="B140" s="16" t="s">
        <v>251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320</v>
      </c>
      <c r="B141" s="16" t="s">
        <v>251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322</v>
      </c>
      <c r="B142" s="16" t="s">
        <v>251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323</v>
      </c>
      <c r="B143" s="16" t="s">
        <v>251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323</v>
      </c>
      <c r="B144" s="16" t="s">
        <v>251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323</v>
      </c>
      <c r="B145" s="16" t="s">
        <v>251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250</v>
      </c>
      <c r="I145" s="17">
        <f t="shared" si="26"/>
        <v>350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324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324</v>
      </c>
      <c r="B147" s="16" t="s">
        <v>251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324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324</v>
      </c>
      <c r="B149" s="16" t="s">
        <v>251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325</v>
      </c>
      <c r="B150" s="16" t="s">
        <v>251</v>
      </c>
      <c r="C150" s="17">
        <v>155</v>
      </c>
      <c r="D150" s="17" t="s">
        <v>263</v>
      </c>
      <c r="E150" s="17">
        <v>600</v>
      </c>
      <c r="F150" s="17">
        <v>1</v>
      </c>
      <c r="G150" s="17">
        <f t="shared" si="25"/>
        <v>600</v>
      </c>
      <c r="H150" s="17">
        <v>320</v>
      </c>
      <c r="I150" s="17">
        <f t="shared" si="26"/>
        <v>280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326</v>
      </c>
      <c r="B151" s="16" t="s">
        <v>327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326</v>
      </c>
      <c r="B152" s="16" t="s">
        <v>327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328</v>
      </c>
      <c r="B153" s="16" t="s">
        <v>251</v>
      </c>
      <c r="C153" s="17">
        <v>185</v>
      </c>
      <c r="D153" s="17" t="s">
        <v>263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328</v>
      </c>
      <c r="B154" s="16" t="s">
        <v>251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328</v>
      </c>
      <c r="B155" s="16" t="s">
        <v>251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328</v>
      </c>
      <c r="B156" s="16" t="s">
        <v>251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329</v>
      </c>
      <c r="B157" s="16" t="s">
        <v>327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/>
      <c r="B158" s="16"/>
      <c r="C158" s="17"/>
      <c r="D158" s="17"/>
      <c r="E158" s="17"/>
      <c r="F158" s="17"/>
      <c r="G158" s="17">
        <f>F158*E158</f>
        <v>0</v>
      </c>
      <c r="H158" s="17"/>
      <c r="I158" s="17">
        <f>G158-H158</f>
        <v>0</v>
      </c>
      <c r="J158" s="17"/>
      <c r="K15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253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283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260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246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241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240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242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243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244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245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290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269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277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277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277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293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321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308</v>
      </c>
      <c r="B1" s="47" t="s">
        <v>309</v>
      </c>
      <c r="C1" s="47" t="s">
        <v>311</v>
      </c>
    </row>
    <row r="2" spans="1:3">
      <c r="A2" s="46">
        <v>44189</v>
      </c>
      <c r="B2" t="s">
        <v>310</v>
      </c>
      <c r="C2" t="s">
        <v>312</v>
      </c>
    </row>
    <row r="3" spans="1:3">
      <c r="A3" s="46">
        <v>44190</v>
      </c>
      <c r="B3" t="s">
        <v>310</v>
      </c>
      <c r="C3" t="s">
        <v>313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232</v>
      </c>
      <c r="B1" s="58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247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262</v>
      </c>
    </row>
    <row r="6" spans="1:2" ht="23">
      <c r="B6" s="36" t="s">
        <v>267</v>
      </c>
    </row>
    <row r="7" spans="1:2" ht="46">
      <c r="A7" s="35" t="s">
        <v>307</v>
      </c>
      <c r="B7" s="34" t="s">
        <v>314</v>
      </c>
    </row>
    <row r="8" spans="1:2" ht="46">
      <c r="A8" s="33">
        <v>44209</v>
      </c>
      <c r="B8" s="34" t="s">
        <v>318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2021-02-04T23:26:17Z</dcterms:modified>
</cp:coreProperties>
</file>