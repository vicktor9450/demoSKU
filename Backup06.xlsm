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46220285-8CEF-484E-8A27-FC021DD53DEE}" xr6:coauthVersionLast="45" xr6:coauthVersionMax="45" xr10:uidLastSave="{00000000-0000-0000-0000-000000000000}"/>
  <bookViews>
    <workbookView xWindow="0" yWindow="0" windowWidth="25600" windowHeight="14400" xr2:uid="{00000000-000D-0000-FFFF-FFFF00000000}"/>
  </bookViews>
  <sheets>
    <sheet name="PaperSummary" sheetId="221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Paper!$A$5:$J$109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109" i="2" l="1"/>
  <c r="I109" i="2" s="1"/>
  <c r="K109" i="2"/>
  <c r="G108" i="2"/>
  <c r="I108" i="2" s="1"/>
  <c r="K108" i="2"/>
  <c r="I3" i="2"/>
  <c r="G107" i="2" l="1"/>
  <c r="I107" i="2" s="1"/>
  <c r="K107" i="2"/>
  <c r="G103" i="2" l="1"/>
  <c r="G106" i="2" l="1"/>
  <c r="I106" i="2" s="1"/>
  <c r="K106" i="2"/>
  <c r="G105" i="2"/>
  <c r="I105" i="2" s="1"/>
  <c r="K105" i="2"/>
  <c r="G104" i="2"/>
  <c r="I104" i="2" s="1"/>
  <c r="K104" i="2"/>
  <c r="I103" i="2"/>
  <c r="K103" i="2"/>
  <c r="G102" i="2"/>
  <c r="I102" i="2" s="1"/>
  <c r="K102" i="2"/>
  <c r="G101" i="2" l="1"/>
  <c r="I101" i="2" s="1"/>
  <c r="K101" i="2"/>
  <c r="G100" i="2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F3" i="3"/>
  <c r="G95" i="2" l="1"/>
  <c r="I95" i="2" s="1"/>
  <c r="K95" i="2"/>
  <c r="G94" i="2"/>
  <c r="K94" i="2"/>
  <c r="G93" i="2"/>
  <c r="I93" i="2" s="1"/>
  <c r="K93" i="2"/>
  <c r="G92" i="2"/>
  <c r="I92" i="2" s="1"/>
  <c r="K92" i="2"/>
  <c r="G91" i="2"/>
  <c r="I91" i="2" s="1"/>
  <c r="K91" i="2"/>
  <c r="I94" i="2" l="1"/>
  <c r="G90" i="2"/>
  <c r="I90" i="2" s="1"/>
  <c r="K90" i="2"/>
  <c r="G89" i="2"/>
  <c r="I89" i="2" s="1"/>
  <c r="K89" i="2"/>
  <c r="G88" i="2" l="1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<sst xmlns="http://schemas.openxmlformats.org/spreadsheetml/2006/main" count="846" uniqueCount="297">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</sst>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2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32.870670717595" createdVersion="3" refreshedVersion="6" minRefreshableVersion="3" recordCount="103" xr:uid="{C8815C7D-EA82-C14A-8747-2481AA78D245}">
  <cacheSource type="worksheet">
    <worksheetSource ref="A5:K108" sheet="Paper"/>
  </cacheSource>
  <cacheFields count="11">
    <cacheField name="Arrival" numFmtId="49">
      <sharedItems count="38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9">
        <n v="600"/>
        <n v="300"/>
        <n v="200"/>
        <n v="100"/>
        <n v="60"/>
        <n v="400"/>
        <n v="80"/>
        <n v="500"/>
        <n v="35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0">
        <n v="600"/>
        <n v="1200"/>
        <n v="300"/>
        <n v="200"/>
        <n v="100"/>
        <n v="60"/>
        <n v="400"/>
        <n v="80"/>
        <n v="500"/>
        <n v="350"/>
      </sharedItems>
    </cacheField>
    <cacheField name="Used" numFmtId="0">
      <sharedItems containsString="0" containsBlank="1" containsNumber="1" containsInteger="1" minValue="10" maxValue="600" count="16">
        <n v="600"/>
        <n v="550"/>
        <m/>
        <n v="500"/>
        <n v="100"/>
        <n v="570"/>
        <n v="180"/>
        <n v="70"/>
        <n v="300"/>
        <n v="480"/>
        <n v="580"/>
        <n v="585"/>
        <n v="380"/>
        <n v="590"/>
        <n v="400"/>
        <n v="10"/>
      </sharedItems>
    </cacheField>
    <cacheField name="Remaining" numFmtId="0">
      <sharedItems containsSemiMixedTypes="0" containsString="0" containsNumber="1" containsInteger="1" minValue="0" maxValue="1200" count="20">
        <n v="0"/>
        <n v="50"/>
        <n v="600"/>
        <n v="100"/>
        <n v="1200"/>
        <n v="500"/>
        <n v="300"/>
        <n v="200"/>
        <n v="30"/>
        <n v="20"/>
        <n v="130"/>
        <n v="120"/>
        <n v="60"/>
        <n v="400"/>
        <n v="15"/>
        <n v="80"/>
        <n v="10"/>
        <n v="290"/>
        <n v="220"/>
        <n v="3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1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2"/>
    <x v="2"/>
    <x v="0"/>
    <x v="2"/>
  </r>
  <r>
    <x v="3"/>
    <x v="0"/>
    <x v="0"/>
    <x v="0"/>
    <x v="0"/>
    <x v="0"/>
    <x v="0"/>
    <x v="3"/>
    <x v="3"/>
    <x v="0"/>
    <x v="0"/>
  </r>
  <r>
    <x v="4"/>
    <x v="1"/>
    <x v="2"/>
    <x v="1"/>
    <x v="0"/>
    <x v="0"/>
    <x v="0"/>
    <x v="2"/>
    <x v="2"/>
    <x v="0"/>
    <x v="3"/>
  </r>
  <r>
    <x v="5"/>
    <x v="0"/>
    <x v="3"/>
    <x v="1"/>
    <x v="0"/>
    <x v="0"/>
    <x v="0"/>
    <x v="2"/>
    <x v="2"/>
    <x v="0"/>
    <x v="4"/>
  </r>
  <r>
    <x v="6"/>
    <x v="0"/>
    <x v="4"/>
    <x v="0"/>
    <x v="0"/>
    <x v="0"/>
    <x v="0"/>
    <x v="2"/>
    <x v="2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2"/>
    <x v="4"/>
    <x v="0"/>
    <x v="6"/>
  </r>
  <r>
    <x v="9"/>
    <x v="0"/>
    <x v="6"/>
    <x v="0"/>
    <x v="0"/>
    <x v="0"/>
    <x v="0"/>
    <x v="2"/>
    <x v="2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2"/>
    <x v="2"/>
    <x v="0"/>
    <x v="4"/>
  </r>
  <r>
    <x v="4"/>
    <x v="1"/>
    <x v="2"/>
    <x v="1"/>
    <x v="0"/>
    <x v="0"/>
    <x v="0"/>
    <x v="2"/>
    <x v="2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4"/>
    <x v="5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2"/>
    <x v="2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3"/>
    <x v="1"/>
    <x v="7"/>
  </r>
  <r>
    <x v="12"/>
    <x v="0"/>
    <x v="6"/>
    <x v="0"/>
    <x v="0"/>
    <x v="0"/>
    <x v="0"/>
    <x v="2"/>
    <x v="2"/>
    <x v="1"/>
    <x v="7"/>
  </r>
  <r>
    <x v="13"/>
    <x v="3"/>
    <x v="3"/>
    <x v="1"/>
    <x v="1"/>
    <x v="0"/>
    <x v="2"/>
    <x v="2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2"/>
    <x v="6"/>
    <x v="0"/>
    <x v="13"/>
  </r>
  <r>
    <x v="16"/>
    <x v="3"/>
    <x v="3"/>
    <x v="1"/>
    <x v="2"/>
    <x v="0"/>
    <x v="3"/>
    <x v="2"/>
    <x v="7"/>
    <x v="0"/>
    <x v="13"/>
  </r>
  <r>
    <x v="12"/>
    <x v="2"/>
    <x v="5"/>
    <x v="1"/>
    <x v="0"/>
    <x v="0"/>
    <x v="0"/>
    <x v="5"/>
    <x v="8"/>
    <x v="2"/>
    <x v="6"/>
  </r>
  <r>
    <x v="12"/>
    <x v="3"/>
    <x v="3"/>
    <x v="1"/>
    <x v="2"/>
    <x v="0"/>
    <x v="3"/>
    <x v="6"/>
    <x v="9"/>
    <x v="0"/>
    <x v="13"/>
  </r>
  <r>
    <x v="12"/>
    <x v="3"/>
    <x v="3"/>
    <x v="1"/>
    <x v="2"/>
    <x v="0"/>
    <x v="3"/>
    <x v="7"/>
    <x v="10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2"/>
    <x v="3"/>
    <x v="2"/>
    <x v="15"/>
  </r>
  <r>
    <x v="12"/>
    <x v="0"/>
    <x v="3"/>
    <x v="1"/>
    <x v="0"/>
    <x v="0"/>
    <x v="0"/>
    <x v="9"/>
    <x v="11"/>
    <x v="1"/>
    <x v="4"/>
  </r>
  <r>
    <x v="12"/>
    <x v="1"/>
    <x v="3"/>
    <x v="1"/>
    <x v="0"/>
    <x v="0"/>
    <x v="0"/>
    <x v="3"/>
    <x v="3"/>
    <x v="1"/>
    <x v="16"/>
  </r>
  <r>
    <x v="12"/>
    <x v="1"/>
    <x v="3"/>
    <x v="1"/>
    <x v="0"/>
    <x v="0"/>
    <x v="0"/>
    <x v="9"/>
    <x v="11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9"/>
    <x v="1"/>
    <x v="16"/>
  </r>
  <r>
    <x v="17"/>
    <x v="5"/>
    <x v="9"/>
    <x v="1"/>
    <x v="4"/>
    <x v="0"/>
    <x v="5"/>
    <x v="2"/>
    <x v="12"/>
    <x v="3"/>
    <x v="17"/>
  </r>
  <r>
    <x v="12"/>
    <x v="0"/>
    <x v="1"/>
    <x v="0"/>
    <x v="0"/>
    <x v="0"/>
    <x v="0"/>
    <x v="10"/>
    <x v="9"/>
    <x v="1"/>
    <x v="18"/>
  </r>
  <r>
    <x v="12"/>
    <x v="3"/>
    <x v="10"/>
    <x v="1"/>
    <x v="5"/>
    <x v="0"/>
    <x v="6"/>
    <x v="2"/>
    <x v="13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2"/>
    <x v="7"/>
    <x v="1"/>
    <x v="21"/>
  </r>
  <r>
    <x v="12"/>
    <x v="7"/>
    <x v="12"/>
    <x v="1"/>
    <x v="3"/>
    <x v="0"/>
    <x v="4"/>
    <x v="2"/>
    <x v="3"/>
    <x v="1"/>
    <x v="22"/>
  </r>
  <r>
    <x v="12"/>
    <x v="7"/>
    <x v="12"/>
    <x v="1"/>
    <x v="0"/>
    <x v="0"/>
    <x v="0"/>
    <x v="11"/>
    <x v="14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9"/>
    <x v="2"/>
    <x v="23"/>
  </r>
  <r>
    <x v="12"/>
    <x v="6"/>
    <x v="12"/>
    <x v="1"/>
    <x v="2"/>
    <x v="0"/>
    <x v="3"/>
    <x v="2"/>
    <x v="7"/>
    <x v="1"/>
    <x v="21"/>
  </r>
  <r>
    <x v="12"/>
    <x v="9"/>
    <x v="14"/>
    <x v="1"/>
    <x v="6"/>
    <x v="0"/>
    <x v="7"/>
    <x v="2"/>
    <x v="15"/>
    <x v="0"/>
    <x v="24"/>
  </r>
  <r>
    <x v="18"/>
    <x v="9"/>
    <x v="14"/>
    <x v="1"/>
    <x v="6"/>
    <x v="0"/>
    <x v="7"/>
    <x v="2"/>
    <x v="15"/>
    <x v="0"/>
    <x v="24"/>
  </r>
  <r>
    <x v="12"/>
    <x v="10"/>
    <x v="15"/>
    <x v="1"/>
    <x v="0"/>
    <x v="0"/>
    <x v="0"/>
    <x v="13"/>
    <x v="16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"/>
    <x v="1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3"/>
    <x v="3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14"/>
    <x v="7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2"/>
    <x v="15"/>
    <x v="0"/>
    <x v="24"/>
  </r>
  <r>
    <x v="23"/>
    <x v="9"/>
    <x v="12"/>
    <x v="1"/>
    <x v="5"/>
    <x v="0"/>
    <x v="6"/>
    <x v="2"/>
    <x v="13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9"/>
    <x v="0"/>
    <x v="27"/>
  </r>
  <r>
    <x v="25"/>
    <x v="0"/>
    <x v="6"/>
    <x v="1"/>
    <x v="0"/>
    <x v="0"/>
    <x v="0"/>
    <x v="2"/>
    <x v="2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2"/>
    <x v="2"/>
    <x v="0"/>
    <x v="12"/>
  </r>
  <r>
    <x v="29"/>
    <x v="0"/>
    <x v="7"/>
    <x v="1"/>
    <x v="0"/>
    <x v="0"/>
    <x v="0"/>
    <x v="0"/>
    <x v="0"/>
    <x v="0"/>
    <x v="8"/>
  </r>
  <r>
    <x v="29"/>
    <x v="0"/>
    <x v="7"/>
    <x v="1"/>
    <x v="0"/>
    <x v="0"/>
    <x v="0"/>
    <x v="2"/>
    <x v="2"/>
    <x v="0"/>
    <x v="8"/>
  </r>
  <r>
    <x v="29"/>
    <x v="2"/>
    <x v="3"/>
    <x v="1"/>
    <x v="1"/>
    <x v="0"/>
    <x v="2"/>
    <x v="2"/>
    <x v="6"/>
    <x v="0"/>
    <x v="14"/>
  </r>
  <r>
    <x v="30"/>
    <x v="2"/>
    <x v="8"/>
    <x v="1"/>
    <x v="1"/>
    <x v="0"/>
    <x v="2"/>
    <x v="15"/>
    <x v="17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2"/>
    <x v="2"/>
    <x v="0"/>
    <x v="8"/>
  </r>
  <r>
    <x v="32"/>
    <x v="0"/>
    <x v="11"/>
    <x v="1"/>
    <x v="0"/>
    <x v="0"/>
    <x v="0"/>
    <x v="2"/>
    <x v="2"/>
    <x v="0"/>
    <x v="20"/>
  </r>
  <r>
    <x v="31"/>
    <x v="8"/>
    <x v="17"/>
    <x v="1"/>
    <x v="7"/>
    <x v="0"/>
    <x v="8"/>
    <x v="14"/>
    <x v="3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2"/>
    <x v="2"/>
    <x v="0"/>
    <x v="14"/>
  </r>
  <r>
    <x v="33"/>
    <x v="2"/>
    <x v="3"/>
    <x v="1"/>
    <x v="0"/>
    <x v="0"/>
    <x v="0"/>
    <x v="2"/>
    <x v="2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12"/>
    <x v="18"/>
    <x v="0"/>
    <x v="9"/>
  </r>
  <r>
    <x v="33"/>
    <x v="2"/>
    <x v="3"/>
    <x v="1"/>
    <x v="0"/>
    <x v="0"/>
    <x v="0"/>
    <x v="2"/>
    <x v="2"/>
    <x v="0"/>
    <x v="14"/>
  </r>
  <r>
    <x v="34"/>
    <x v="0"/>
    <x v="7"/>
    <x v="1"/>
    <x v="0"/>
    <x v="0"/>
    <x v="0"/>
    <x v="2"/>
    <x v="2"/>
    <x v="0"/>
    <x v="8"/>
  </r>
  <r>
    <x v="34"/>
    <x v="0"/>
    <x v="7"/>
    <x v="1"/>
    <x v="0"/>
    <x v="0"/>
    <x v="0"/>
    <x v="3"/>
    <x v="3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2"/>
    <x v="2"/>
    <x v="0"/>
    <x v="0"/>
  </r>
  <r>
    <x v="35"/>
    <x v="0"/>
    <x v="7"/>
    <x v="1"/>
    <x v="0"/>
    <x v="0"/>
    <x v="0"/>
    <x v="2"/>
    <x v="2"/>
    <x v="0"/>
    <x v="8"/>
  </r>
  <r>
    <x v="36"/>
    <x v="11"/>
    <x v="12"/>
    <x v="1"/>
    <x v="7"/>
    <x v="0"/>
    <x v="8"/>
    <x v="2"/>
    <x v="5"/>
    <x v="0"/>
    <x v="30"/>
  </r>
  <r>
    <x v="37"/>
    <x v="11"/>
    <x v="12"/>
    <x v="1"/>
    <x v="7"/>
    <x v="0"/>
    <x v="8"/>
    <x v="2"/>
    <x v="5"/>
    <x v="0"/>
    <x v="30"/>
  </r>
  <r>
    <x v="37"/>
    <x v="11"/>
    <x v="12"/>
    <x v="1"/>
    <x v="8"/>
    <x v="0"/>
    <x v="9"/>
    <x v="2"/>
    <x v="19"/>
    <x v="0"/>
    <x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8CE226-7E41-8A4D-977D-A9B61DB94462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6" firstHeaderRow="1" firstDataRow="3" firstDataCol="1"/>
  <pivotFields count="11">
    <pivotField showAll="0" defaultSubtotal="0">
      <items count="38">
        <item x="31"/>
        <item x="32"/>
        <item x="30"/>
        <item x="33"/>
        <item x="34"/>
        <item x="35"/>
        <item x="36"/>
        <item x="29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11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9">
        <item x="4"/>
        <item x="6"/>
        <item x="3"/>
        <item x="2"/>
        <item x="1"/>
        <item x="8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10">
        <item x="5"/>
        <item x="7"/>
        <item x="4"/>
        <item x="3"/>
        <item x="2"/>
        <item x="9"/>
        <item x="6"/>
        <item x="8"/>
        <item x="0"/>
        <item x="1"/>
      </items>
    </pivotField>
    <pivotField showAll="0" defaultSubtotal="0">
      <items count="16">
        <item x="15"/>
        <item x="7"/>
        <item x="4"/>
        <item x="6"/>
        <item x="8"/>
        <item x="12"/>
        <item x="14"/>
        <item x="9"/>
        <item x="3"/>
        <item x="1"/>
        <item x="5"/>
        <item x="10"/>
        <item x="11"/>
        <item x="13"/>
        <item x="0"/>
        <item x="2"/>
      </items>
    </pivotField>
    <pivotField dataField="1" showAll="0" defaultSubtotal="0">
      <items count="20">
        <item x="0"/>
        <item x="16"/>
        <item x="14"/>
        <item x="9"/>
        <item x="8"/>
        <item x="1"/>
        <item x="12"/>
        <item x="15"/>
        <item x="3"/>
        <item x="11"/>
        <item x="10"/>
        <item x="7"/>
        <item x="18"/>
        <item x="17"/>
        <item x="6"/>
        <item x="19"/>
        <item x="13"/>
        <item x="5"/>
        <item x="2"/>
        <item x="4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1">
        <item x="17"/>
        <item x="22"/>
        <item x="25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30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09" headerRowDxfId="39" dataDxfId="38" totalsRowDxfId="37">
  <autoFilter ref="A5:K109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A6AC6-4A0D-5647-B0AC-5C3886BD740A}">
  <dimension ref="B1:X16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4.8984375" bestFit="1" customWidth="1"/>
    <col min="23" max="24" width="5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11.8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</row>
    <row r="3" spans="2:24">
      <c r="B3" s="53"/>
      <c r="C3" s="52">
        <v>40</v>
      </c>
      <c r="D3" s="52">
        <v>90</v>
      </c>
      <c r="E3" s="52">
        <v>100</v>
      </c>
      <c r="F3" s="52">
        <v>115</v>
      </c>
      <c r="G3" s="52">
        <v>120</v>
      </c>
      <c r="H3" s="54">
        <v>125</v>
      </c>
      <c r="I3" s="55"/>
      <c r="J3" s="52">
        <v>130</v>
      </c>
      <c r="K3" s="52">
        <v>135</v>
      </c>
      <c r="L3" s="52">
        <v>140</v>
      </c>
      <c r="M3" s="52">
        <v>150</v>
      </c>
      <c r="N3" s="54">
        <v>155</v>
      </c>
      <c r="O3" s="55"/>
      <c r="P3" s="52">
        <v>160</v>
      </c>
      <c r="Q3" s="52">
        <v>165</v>
      </c>
      <c r="R3" s="52">
        <v>175</v>
      </c>
      <c r="S3" s="54">
        <v>185</v>
      </c>
      <c r="T3" s="55"/>
      <c r="U3" s="54">
        <v>205</v>
      </c>
      <c r="V3" s="55"/>
      <c r="W3" s="52">
        <v>215</v>
      </c>
      <c r="X3" s="52">
        <v>220</v>
      </c>
    </row>
    <row r="4" spans="2:24">
      <c r="B4" s="7" t="s">
        <v>0</v>
      </c>
      <c r="C4" s="52" t="s">
        <v>257</v>
      </c>
      <c r="D4" s="52" t="s">
        <v>257</v>
      </c>
      <c r="E4" s="52" t="s">
        <v>257</v>
      </c>
      <c r="F4" s="52" t="s">
        <v>257</v>
      </c>
      <c r="G4" s="52" t="s">
        <v>257</v>
      </c>
      <c r="H4" s="52" t="s">
        <v>267</v>
      </c>
      <c r="I4" s="52" t="s">
        <v>257</v>
      </c>
      <c r="J4" s="52" t="s">
        <v>257</v>
      </c>
      <c r="K4" s="52" t="s">
        <v>257</v>
      </c>
      <c r="L4" s="52" t="s">
        <v>257</v>
      </c>
      <c r="M4" s="52" t="s">
        <v>257</v>
      </c>
      <c r="N4" s="52" t="s">
        <v>267</v>
      </c>
      <c r="O4" s="52" t="s">
        <v>257</v>
      </c>
      <c r="P4" s="52" t="s">
        <v>257</v>
      </c>
      <c r="Q4" s="52" t="s">
        <v>257</v>
      </c>
      <c r="R4" s="52" t="s">
        <v>257</v>
      </c>
      <c r="S4" s="52" t="s">
        <v>267</v>
      </c>
      <c r="T4" s="52" t="s">
        <v>257</v>
      </c>
      <c r="U4" s="52" t="s">
        <v>267</v>
      </c>
      <c r="V4" s="52" t="s">
        <v>257</v>
      </c>
      <c r="W4" s="52" t="s">
        <v>257</v>
      </c>
      <c r="X4" s="52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230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100</v>
      </c>
    </row>
    <row r="12" spans="2:24">
      <c r="B12" s="5" t="s">
        <v>12</v>
      </c>
      <c r="C12" s="6"/>
      <c r="D12" s="6">
        <v>2300</v>
      </c>
      <c r="E12" s="6"/>
      <c r="F12" s="6"/>
      <c r="G12" s="6"/>
      <c r="H12" s="6"/>
      <c r="I12" s="6"/>
      <c r="J12" s="6">
        <v>1230</v>
      </c>
      <c r="K12" s="6"/>
      <c r="L12" s="6">
        <v>290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209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295</v>
      </c>
      <c r="C14" s="6"/>
      <c r="D14" s="6"/>
      <c r="E14" s="6">
        <v>1350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2:24">
      <c r="B15" s="5" t="s">
        <v>253</v>
      </c>
      <c r="C15" s="6"/>
      <c r="D15" s="6">
        <v>1620</v>
      </c>
      <c r="E15" s="6"/>
      <c r="F15" s="6">
        <v>50</v>
      </c>
      <c r="G15" s="6"/>
      <c r="H15" s="6">
        <v>1300</v>
      </c>
      <c r="I15" s="6">
        <v>600</v>
      </c>
      <c r="J15" s="6"/>
      <c r="K15" s="6"/>
      <c r="L15" s="6">
        <v>600</v>
      </c>
      <c r="M15" s="6"/>
      <c r="N15" s="6">
        <v>700</v>
      </c>
      <c r="O15" s="6">
        <v>220</v>
      </c>
      <c r="P15" s="6"/>
      <c r="Q15" s="6">
        <v>2500</v>
      </c>
      <c r="R15" s="6"/>
      <c r="S15" s="6">
        <v>700</v>
      </c>
      <c r="T15" s="6">
        <v>650</v>
      </c>
      <c r="U15" s="6">
        <v>20</v>
      </c>
      <c r="V15" s="6">
        <v>1100</v>
      </c>
      <c r="W15" s="6">
        <v>600</v>
      </c>
      <c r="X15" s="6"/>
    </row>
    <row r="16" spans="2:24">
      <c r="B16" s="5" t="s">
        <v>229</v>
      </c>
      <c r="C16" s="6">
        <v>240</v>
      </c>
      <c r="D16" s="6"/>
      <c r="E16" s="6">
        <v>420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09"/>
  <sheetViews>
    <sheetView zoomScale="107" zoomScaleNormal="107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254</v>
      </c>
      <c r="I2" s="58" t="s">
        <v>235</v>
      </c>
      <c r="J2" s="59"/>
      <c r="M2" s="30"/>
      <c r="N2" s="30"/>
      <c r="O2" s="30"/>
      <c r="P2" s="30"/>
    </row>
    <row r="3" spans="1:19" ht="23" thickBot="1">
      <c r="I3" s="56">
        <f>LastSavedTimeStamp()</f>
        <v>44132.870648148149</v>
      </c>
      <c r="J3" s="57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6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550</v>
      </c>
      <c r="I7" s="17">
        <f t="shared" si="1"/>
        <v>50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6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500</v>
      </c>
      <c r="I9" s="17">
        <f t="shared" si="1"/>
        <v>100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51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18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6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276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8"/>
        <v>600</v>
      </c>
      <c r="H67" s="17">
        <v>600</v>
      </c>
      <c r="I67" s="17">
        <f t="shared" si="9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35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600</v>
      </c>
      <c r="I71" s="17">
        <f t="shared" si="9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271</v>
      </c>
      <c r="B72" s="16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400</v>
      </c>
      <c r="I72" s="17">
        <f t="shared" si="9"/>
        <v>200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270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270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270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273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273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273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>
        <v>600</v>
      </c>
      <c r="I78" s="17">
        <f t="shared" si="11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277</v>
      </c>
      <c r="B80" s="18" t="s">
        <v>253</v>
      </c>
      <c r="C80" s="17">
        <v>125</v>
      </c>
      <c r="D80" s="17"/>
      <c r="E80" s="17">
        <v>600</v>
      </c>
      <c r="F80" s="17">
        <v>1</v>
      </c>
      <c r="G80" s="17">
        <f>F80*E80</f>
        <v>600</v>
      </c>
      <c r="H80" s="17"/>
      <c r="I80" s="17">
        <f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279</v>
      </c>
      <c r="B81" s="19" t="s">
        <v>280</v>
      </c>
      <c r="C81" s="17">
        <v>165</v>
      </c>
      <c r="D81" s="17"/>
      <c r="E81" s="17">
        <v>600</v>
      </c>
      <c r="F81" s="17">
        <v>1</v>
      </c>
      <c r="G81" s="17">
        <f>F81*E81</f>
        <v>600</v>
      </c>
      <c r="H81" s="17">
        <v>600</v>
      </c>
      <c r="I81" s="17">
        <f>G81-H81</f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279</v>
      </c>
      <c r="B82" s="19" t="s">
        <v>280</v>
      </c>
      <c r="C82" s="17">
        <v>165</v>
      </c>
      <c r="D82" s="17"/>
      <c r="E82" s="17">
        <v>600</v>
      </c>
      <c r="F82" s="17">
        <v>1</v>
      </c>
      <c r="G82" s="17">
        <f>F82*E82</f>
        <v>600</v>
      </c>
      <c r="H82" s="17">
        <v>600</v>
      </c>
      <c r="I82" s="17">
        <f>G82-H82</f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278</v>
      </c>
      <c r="B83" s="50" t="s">
        <v>253</v>
      </c>
      <c r="C83" s="48">
        <v>165</v>
      </c>
      <c r="D83" s="48"/>
      <c r="E83" s="48">
        <v>600</v>
      </c>
      <c r="F83" s="48">
        <v>1</v>
      </c>
      <c r="G83" s="17">
        <f t="shared" ref="G83:G85" si="12">F83*E83</f>
        <v>600</v>
      </c>
      <c r="H83" s="48">
        <v>600</v>
      </c>
      <c r="I83" s="17">
        <f t="shared" ref="I83:I85" si="13">G83-H83</f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>
      <c r="A84" s="47" t="s">
        <v>278</v>
      </c>
      <c r="B84" s="50" t="s">
        <v>253</v>
      </c>
      <c r="C84" s="48">
        <v>140</v>
      </c>
      <c r="D84" s="48"/>
      <c r="E84" s="48">
        <v>600</v>
      </c>
      <c r="F84" s="48">
        <v>1</v>
      </c>
      <c r="G84" s="17">
        <f t="shared" si="12"/>
        <v>600</v>
      </c>
      <c r="H84" s="48">
        <v>600</v>
      </c>
      <c r="I84" s="17">
        <f t="shared" si="13"/>
        <v>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281</v>
      </c>
      <c r="B85" s="19" t="s">
        <v>282</v>
      </c>
      <c r="C85" s="17">
        <v>90</v>
      </c>
      <c r="D85" s="17"/>
      <c r="E85" s="17">
        <v>600</v>
      </c>
      <c r="F85" s="17">
        <v>1</v>
      </c>
      <c r="G85" s="17">
        <f t="shared" si="12"/>
        <v>600</v>
      </c>
      <c r="H85" s="17">
        <v>600</v>
      </c>
      <c r="I85" s="17">
        <f t="shared" si="13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283</v>
      </c>
      <c r="B86" s="18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5" si="14">F86*E86</f>
        <v>600</v>
      </c>
      <c r="H86" s="17"/>
      <c r="I86" s="17">
        <f t="shared" ref="I86:I95" si="15">G86-H86</f>
        <v>600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285</v>
      </c>
      <c r="B87" s="19" t="s">
        <v>286</v>
      </c>
      <c r="C87" s="17">
        <v>165</v>
      </c>
      <c r="D87" s="17"/>
      <c r="E87" s="17">
        <v>600</v>
      </c>
      <c r="F87" s="17">
        <v>1</v>
      </c>
      <c r="G87" s="17">
        <f t="shared" si="14"/>
        <v>600</v>
      </c>
      <c r="H87" s="17">
        <v>600</v>
      </c>
      <c r="I87" s="17">
        <f t="shared" si="15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285</v>
      </c>
      <c r="B88" s="18" t="s">
        <v>253</v>
      </c>
      <c r="C88" s="17">
        <v>165</v>
      </c>
      <c r="D88" s="17"/>
      <c r="E88" s="17">
        <v>600</v>
      </c>
      <c r="F88" s="17">
        <v>1</v>
      </c>
      <c r="G88" s="17">
        <f t="shared" si="14"/>
        <v>600</v>
      </c>
      <c r="H88" s="17"/>
      <c r="I88" s="17">
        <f t="shared" si="15"/>
        <v>600</v>
      </c>
      <c r="J88" s="18"/>
      <c r="K88" s="20" t="str">
        <f>CONCATENATE(Table2[[#This Row],[Specs]],Table2[[#This Row],[Width]],Table2[[#This Row],[Slitting]])</f>
        <v>y ユポ80 MDN 8GB165</v>
      </c>
    </row>
    <row r="89" spans="1:11">
      <c r="A89" s="15" t="s">
        <v>285</v>
      </c>
      <c r="B89" s="18" t="s">
        <v>12</v>
      </c>
      <c r="C89" s="17">
        <v>90</v>
      </c>
      <c r="D89" s="17"/>
      <c r="E89" s="17">
        <v>300</v>
      </c>
      <c r="F89" s="17">
        <v>1</v>
      </c>
      <c r="G89" s="17">
        <f t="shared" si="14"/>
        <v>300</v>
      </c>
      <c r="H89" s="17"/>
      <c r="I89" s="17">
        <f t="shared" si="15"/>
        <v>300</v>
      </c>
      <c r="J89" s="18"/>
      <c r="K89" s="20" t="str">
        <f>CONCATENATE(Table2[[#This Row],[Specs]],Table2[[#This Row],[Width]],Table2[[#This Row],[Slitting]])</f>
        <v>Nキャスト&lt;73&gt;ME80E90</v>
      </c>
    </row>
    <row r="90" spans="1:11">
      <c r="A90" s="15" t="s">
        <v>287</v>
      </c>
      <c r="B90" s="16" t="s">
        <v>12</v>
      </c>
      <c r="C90" s="17">
        <v>140</v>
      </c>
      <c r="D90" s="17"/>
      <c r="E90" s="17">
        <v>300</v>
      </c>
      <c r="F90" s="17">
        <v>1</v>
      </c>
      <c r="G90" s="17">
        <f t="shared" si="14"/>
        <v>300</v>
      </c>
      <c r="H90" s="17">
        <v>10</v>
      </c>
      <c r="I90" s="17">
        <f t="shared" si="15"/>
        <v>290</v>
      </c>
      <c r="J90" s="18"/>
      <c r="K90" s="20" t="str">
        <f>CONCATENATE(Table2[[#This Row],[Specs]],Table2[[#This Row],[Width]],Table2[[#This Row],[Slitting]])</f>
        <v>Nキャスト&lt;73&gt;ME80E140</v>
      </c>
    </row>
    <row r="91" spans="1:11">
      <c r="A91" s="15" t="s">
        <v>288</v>
      </c>
      <c r="B91" s="19" t="s">
        <v>231</v>
      </c>
      <c r="C91" s="17">
        <v>220</v>
      </c>
      <c r="D91" s="17"/>
      <c r="E91" s="17">
        <v>600</v>
      </c>
      <c r="F91" s="17">
        <v>1</v>
      </c>
      <c r="G91" s="17">
        <f t="shared" si="14"/>
        <v>600</v>
      </c>
      <c r="H91" s="17">
        <v>600</v>
      </c>
      <c r="I91" s="17">
        <f t="shared" si="15"/>
        <v>0</v>
      </c>
      <c r="J91" s="18"/>
      <c r="K91" s="20" t="str">
        <f>CONCATENATE(Table2[[#This Row],[Specs]],Table2[[#This Row],[Width]],Table2[[#This Row],[Slitting]])</f>
        <v>N 上質&lt;55&gt;ME 80E220</v>
      </c>
    </row>
    <row r="92" spans="1:11">
      <c r="A92" s="15" t="s">
        <v>289</v>
      </c>
      <c r="B92" s="18" t="s">
        <v>253</v>
      </c>
      <c r="C92" s="17">
        <v>165</v>
      </c>
      <c r="D92" s="17"/>
      <c r="E92" s="17">
        <v>600</v>
      </c>
      <c r="F92" s="17">
        <v>1</v>
      </c>
      <c r="G92" s="17">
        <f t="shared" si="14"/>
        <v>600</v>
      </c>
      <c r="H92" s="17"/>
      <c r="I92" s="17">
        <f t="shared" si="15"/>
        <v>600</v>
      </c>
      <c r="J92" s="18"/>
      <c r="K92" s="20" t="str">
        <f>CONCATENATE(Table2[[#This Row],[Specs]],Table2[[#This Row],[Width]],Table2[[#This Row],[Slitting]])</f>
        <v>y ユポ80 MDN 8GB165</v>
      </c>
    </row>
    <row r="93" spans="1:11">
      <c r="A93" s="15" t="s">
        <v>289</v>
      </c>
      <c r="B93" s="18" t="s">
        <v>253</v>
      </c>
      <c r="C93" s="17">
        <v>215</v>
      </c>
      <c r="D93" s="17"/>
      <c r="E93" s="17">
        <v>600</v>
      </c>
      <c r="F93" s="17">
        <v>1</v>
      </c>
      <c r="G93" s="17">
        <f t="shared" si="14"/>
        <v>600</v>
      </c>
      <c r="H93" s="17"/>
      <c r="I93" s="17">
        <f t="shared" si="15"/>
        <v>600</v>
      </c>
      <c r="J93" s="18"/>
      <c r="K93" s="20" t="str">
        <f>CONCATENATE(Table2[[#This Row],[Specs]],Table2[[#This Row],[Width]],Table2[[#This Row],[Slitting]])</f>
        <v>y ユポ80 MDN 8GB215</v>
      </c>
    </row>
    <row r="94" spans="1:11">
      <c r="A94" s="15" t="s">
        <v>288</v>
      </c>
      <c r="B94" s="16" t="s">
        <v>231</v>
      </c>
      <c r="C94" s="17">
        <v>220</v>
      </c>
      <c r="D94" s="17"/>
      <c r="E94" s="17">
        <v>500</v>
      </c>
      <c r="F94" s="17">
        <v>1</v>
      </c>
      <c r="G94" s="17">
        <f t="shared" si="14"/>
        <v>500</v>
      </c>
      <c r="H94" s="17">
        <v>400</v>
      </c>
      <c r="I94" s="17">
        <f t="shared" si="15"/>
        <v>100</v>
      </c>
      <c r="J94" s="18"/>
      <c r="K94" s="20" t="str">
        <f>CONCATENATE(Table2[[#This Row],[Specs]],Table2[[#This Row],[Width]],Table2[[#This Row],[Slitting]])</f>
        <v>N 上質&lt;55&gt;ME 80E220</v>
      </c>
    </row>
    <row r="95" spans="1:11">
      <c r="A95" s="15" t="s">
        <v>291</v>
      </c>
      <c r="B95" s="19" t="s">
        <v>253</v>
      </c>
      <c r="C95" s="17">
        <v>155</v>
      </c>
      <c r="D95" s="17"/>
      <c r="E95" s="17">
        <v>600</v>
      </c>
      <c r="F95" s="17">
        <v>1</v>
      </c>
      <c r="G95" s="17">
        <f t="shared" si="14"/>
        <v>600</v>
      </c>
      <c r="H95" s="17">
        <v>600</v>
      </c>
      <c r="I95" s="17">
        <f t="shared" si="15"/>
        <v>0</v>
      </c>
      <c r="J95" s="18"/>
      <c r="K95" s="20" t="str">
        <f>CONCATENATE(Table2[[#This Row],[Specs]],Table2[[#This Row],[Width]],Table2[[#This Row],[Slitting]])</f>
        <v>y ユポ80 MDN 8GB155</v>
      </c>
    </row>
    <row r="96" spans="1:11">
      <c r="A96" s="15" t="s">
        <v>291</v>
      </c>
      <c r="B96" s="18" t="s">
        <v>12</v>
      </c>
      <c r="C96" s="17">
        <v>90</v>
      </c>
      <c r="D96" s="17"/>
      <c r="E96" s="17">
        <v>600</v>
      </c>
      <c r="F96" s="17">
        <v>1</v>
      </c>
      <c r="G96" s="17">
        <f t="shared" ref="G96:G101" si="16">F96*E96</f>
        <v>600</v>
      </c>
      <c r="H96" s="17"/>
      <c r="I96" s="17">
        <f t="shared" ref="I96:I101" si="17">G96-H96</f>
        <v>600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291</v>
      </c>
      <c r="B97" s="18" t="s">
        <v>12</v>
      </c>
      <c r="C97" s="17">
        <v>90</v>
      </c>
      <c r="D97" s="17"/>
      <c r="E97" s="17">
        <v>600</v>
      </c>
      <c r="F97" s="17">
        <v>1</v>
      </c>
      <c r="G97" s="17">
        <f t="shared" si="16"/>
        <v>600</v>
      </c>
      <c r="H97" s="17"/>
      <c r="I97" s="17">
        <f t="shared" si="17"/>
        <v>600</v>
      </c>
      <c r="J97" s="18"/>
      <c r="K97" s="20" t="str">
        <f>CONCATENATE(Table2[[#This Row],[Specs]],Table2[[#This Row],[Width]],Table2[[#This Row],[Slitting]])</f>
        <v>Nキャスト&lt;73&gt;ME80E90</v>
      </c>
    </row>
    <row r="98" spans="1:11">
      <c r="A98" s="15" t="s">
        <v>291</v>
      </c>
      <c r="B98" s="19" t="s">
        <v>253</v>
      </c>
      <c r="C98" s="17">
        <v>165</v>
      </c>
      <c r="D98" s="17"/>
      <c r="E98" s="17">
        <v>600</v>
      </c>
      <c r="F98" s="17">
        <v>1</v>
      </c>
      <c r="G98" s="17">
        <f t="shared" si="16"/>
        <v>600</v>
      </c>
      <c r="H98" s="17">
        <v>600</v>
      </c>
      <c r="I98" s="17">
        <f t="shared" si="17"/>
        <v>0</v>
      </c>
      <c r="J98" s="18"/>
      <c r="K98" s="20" t="str">
        <f>CONCATENATE(Table2[[#This Row],[Specs]],Table2[[#This Row],[Width]],Table2[[#This Row],[Slitting]])</f>
        <v>y ユポ80 MDN 8GB165</v>
      </c>
    </row>
    <row r="99" spans="1:11">
      <c r="A99" s="15" t="s">
        <v>291</v>
      </c>
      <c r="B99" s="16" t="s">
        <v>253</v>
      </c>
      <c r="C99" s="17">
        <v>155</v>
      </c>
      <c r="D99" s="17"/>
      <c r="E99" s="17">
        <v>600</v>
      </c>
      <c r="F99" s="17">
        <v>1</v>
      </c>
      <c r="G99" s="17">
        <f t="shared" si="16"/>
        <v>600</v>
      </c>
      <c r="H99" s="17">
        <v>380</v>
      </c>
      <c r="I99" s="17">
        <f t="shared" si="17"/>
        <v>220</v>
      </c>
      <c r="J99" s="18"/>
      <c r="K99" s="20" t="str">
        <f>CONCATENATE(Table2[[#This Row],[Specs]],Table2[[#This Row],[Width]],Table2[[#This Row],[Slitting]])</f>
        <v>y ユポ80 MDN 8GB155</v>
      </c>
    </row>
    <row r="100" spans="1:11">
      <c r="A100" s="15" t="s">
        <v>291</v>
      </c>
      <c r="B100" s="18" t="s">
        <v>12</v>
      </c>
      <c r="C100" s="17">
        <v>90</v>
      </c>
      <c r="D100" s="17"/>
      <c r="E100" s="17">
        <v>600</v>
      </c>
      <c r="F100" s="17">
        <v>1</v>
      </c>
      <c r="G100" s="17">
        <f t="shared" si="16"/>
        <v>600</v>
      </c>
      <c r="H100" s="17"/>
      <c r="I100" s="17">
        <f t="shared" si="17"/>
        <v>600</v>
      </c>
      <c r="J100" s="18"/>
      <c r="K100" s="20" t="str">
        <f>CONCATENATE(Table2[[#This Row],[Specs]],Table2[[#This Row],[Width]],Table2[[#This Row],[Slitting]])</f>
        <v>Nキャスト&lt;73&gt;ME80E90</v>
      </c>
    </row>
    <row r="101" spans="1:11">
      <c r="A101" s="15" t="s">
        <v>292</v>
      </c>
      <c r="B101" s="16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si="16"/>
        <v>600</v>
      </c>
      <c r="H101" s="17"/>
      <c r="I101" s="17">
        <f t="shared" si="17"/>
        <v>600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8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ref="G102:G107" si="18">F102*E102</f>
        <v>600</v>
      </c>
      <c r="H102" s="17">
        <v>500</v>
      </c>
      <c r="I102" s="17">
        <f t="shared" ref="I102:I107" si="19">G102-H102</f>
        <v>100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293</v>
      </c>
      <c r="B103" s="19" t="s">
        <v>253</v>
      </c>
      <c r="C103" s="17">
        <v>165</v>
      </c>
      <c r="D103" s="17"/>
      <c r="E103" s="17">
        <v>600</v>
      </c>
      <c r="F103" s="17">
        <v>1</v>
      </c>
      <c r="G103" s="17">
        <f t="shared" si="18"/>
        <v>600</v>
      </c>
      <c r="H103" s="17">
        <v>600</v>
      </c>
      <c r="I103" s="17">
        <f t="shared" si="19"/>
        <v>0</v>
      </c>
      <c r="J103" s="18"/>
      <c r="K103" s="20" t="str">
        <f>CONCATENATE(Table2[[#This Row],[Specs]],Table2[[#This Row],[Width]],Table2[[#This Row],[Slitting]])</f>
        <v>y ユポ80 MDN 8GB165</v>
      </c>
    </row>
    <row r="104" spans="1:11">
      <c r="A104" s="15" t="s">
        <v>293</v>
      </c>
      <c r="B104" s="16" t="s">
        <v>253</v>
      </c>
      <c r="C104" s="17">
        <v>185</v>
      </c>
      <c r="D104" s="17" t="s">
        <v>267</v>
      </c>
      <c r="E104" s="17">
        <v>600</v>
      </c>
      <c r="F104" s="17">
        <v>1</v>
      </c>
      <c r="G104" s="17">
        <f t="shared" si="18"/>
        <v>600</v>
      </c>
      <c r="H104" s="17"/>
      <c r="I104" s="17">
        <f t="shared" si="19"/>
        <v>600</v>
      </c>
      <c r="J104" s="18"/>
      <c r="K104" s="20" t="str">
        <f>CONCATENATE(Table2[[#This Row],[Specs]],Table2[[#This Row],[Width]],Table2[[#This Row],[Slitting]])</f>
        <v>y ユポ80 MDN 8GB185i 一本刃</v>
      </c>
    </row>
    <row r="105" spans="1:11">
      <c r="A105" s="15" t="s">
        <v>293</v>
      </c>
      <c r="B105" s="16" t="s">
        <v>253</v>
      </c>
      <c r="C105" s="17">
        <v>165</v>
      </c>
      <c r="D105" s="17"/>
      <c r="E105" s="17">
        <v>600</v>
      </c>
      <c r="F105" s="17">
        <v>1</v>
      </c>
      <c r="G105" s="17">
        <f t="shared" si="18"/>
        <v>600</v>
      </c>
      <c r="H105" s="17"/>
      <c r="I105" s="17">
        <f t="shared" si="19"/>
        <v>600</v>
      </c>
      <c r="J105" s="18"/>
      <c r="K105" s="20" t="str">
        <f>CONCATENATE(Table2[[#This Row],[Specs]],Table2[[#This Row],[Width]],Table2[[#This Row],[Slitting]])</f>
        <v>y ユポ80 MDN 8GB165</v>
      </c>
    </row>
    <row r="106" spans="1:11">
      <c r="A106" s="15" t="s">
        <v>294</v>
      </c>
      <c r="B106" s="16" t="s">
        <v>295</v>
      </c>
      <c r="C106" s="17">
        <v>100</v>
      </c>
      <c r="D106" s="17"/>
      <c r="E106" s="17">
        <v>500</v>
      </c>
      <c r="F106" s="17">
        <v>1</v>
      </c>
      <c r="G106" s="17">
        <f t="shared" si="18"/>
        <v>500</v>
      </c>
      <c r="H106" s="17"/>
      <c r="I106" s="17">
        <f t="shared" si="19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296</v>
      </c>
      <c r="B107" s="16" t="s">
        <v>295</v>
      </c>
      <c r="C107" s="17">
        <v>100</v>
      </c>
      <c r="D107" s="17"/>
      <c r="E107" s="17">
        <v>500</v>
      </c>
      <c r="F107" s="17">
        <v>1</v>
      </c>
      <c r="G107" s="17">
        <f t="shared" si="18"/>
        <v>500</v>
      </c>
      <c r="H107" s="17"/>
      <c r="I107" s="17">
        <f t="shared" si="19"/>
        <v>500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296</v>
      </c>
      <c r="B108" s="16" t="s">
        <v>295</v>
      </c>
      <c r="C108" s="17">
        <v>100</v>
      </c>
      <c r="D108" s="17"/>
      <c r="E108" s="17">
        <v>350</v>
      </c>
      <c r="F108" s="17">
        <v>1</v>
      </c>
      <c r="G108" s="17">
        <f>F108*E108</f>
        <v>350</v>
      </c>
      <c r="H108" s="17"/>
      <c r="I108" s="17">
        <f>G108-H108</f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/>
      <c r="B109" s="16"/>
      <c r="C109" s="17"/>
      <c r="D109" s="17"/>
      <c r="E109" s="17"/>
      <c r="F109" s="17"/>
      <c r="G109" s="17">
        <f>F109*E109</f>
        <v>0</v>
      </c>
      <c r="H109" s="17"/>
      <c r="I109" s="17">
        <f>G109-H109</f>
        <v>0</v>
      </c>
      <c r="J109" s="18"/>
      <c r="K109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0" activePane="bottomLeft" state="frozen"/>
      <selection pane="bottomLeft" activeCell="E216" sqref="E216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44126.782905092594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290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84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269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275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284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284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284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0" t="s">
        <v>233</v>
      </c>
      <c r="B1" s="61"/>
      <c r="C1" s="45" t="s">
        <v>274</v>
      </c>
      <c r="D1" s="45" t="s">
        <v>2</v>
      </c>
      <c r="E1" s="42"/>
    </row>
    <row r="2" spans="1:5" ht="46">
      <c r="A2" s="37">
        <v>44061</v>
      </c>
      <c r="B2" s="44" t="s">
        <v>232</v>
      </c>
    </row>
    <row r="3" spans="1:5" ht="23">
      <c r="A3" s="37">
        <v>44062</v>
      </c>
      <c r="B3" s="43" t="s">
        <v>249</v>
      </c>
    </row>
    <row r="4" spans="1:5" ht="69">
      <c r="A4" s="37">
        <v>44063</v>
      </c>
      <c r="B4" s="43" t="s">
        <v>234</v>
      </c>
    </row>
    <row r="5" spans="1:5" ht="69">
      <c r="A5" s="37">
        <v>44064</v>
      </c>
      <c r="B5" s="43" t="s">
        <v>266</v>
      </c>
    </row>
    <row r="6" spans="1:5" ht="46">
      <c r="B6" s="43" t="s">
        <v>272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2020-10-28T11:53:54Z</dcterms:modified>
</cp:coreProperties>
</file>