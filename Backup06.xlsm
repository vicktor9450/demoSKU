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5F0556E-5C86-A64F-92F7-FF7E35DCC9DB}" xr6:coauthVersionLast="45" xr6:coauthVersionMax="45" xr10:uidLastSave="{00000000-0000-0000-0000-000000000000}"/>
  <bookViews>
    <workbookView xWindow="0" yWindow="460" windowWidth="25600" windowHeight="12340" xr2:uid="{00000000-000D-0000-FFFF-FFFF00000000}"/>
  </bookViews>
  <sheets>
    <sheet name="PaperSummary" sheetId="253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F3" i="3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<sst xmlns="http://schemas.openxmlformats.org/spreadsheetml/2006/main" count="889" uniqueCount="310">
  <si>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</si>
  <si>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</si>
  <si>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</si>
  <si>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</si>
  <si>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</si>
  <si>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</si>
  <si>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</si>
  <si>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</si>
  <si>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</si>
  <si>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</si>
  <si>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</si>
  <si>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</si>
  <si>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</si>
  <si>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</si>
  <si>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</si>
  <si>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</si>
  <si>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</si>
  <si>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</si>
  <si>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</si>
  <si>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</si>
  <si>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</si>
  <si>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</si>
  <si>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</si>
  <si>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</si>
  <si>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</si>
  <si>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</si>
  <si>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</si>
  <si>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</si>
  <si>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</si>
  <si>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</si>
  <si>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</si>
  <si>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</si>
  <si>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</si>
  <si>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</si>
  <si>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</si>
  <si>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</si>
  <si>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</si>
  <si>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</si>
  <si>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</si>
  <si>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</si>
  <si>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</si>
  <si>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</si>
  <si>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</si>
  <si>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</si>
  <si>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</si>
  <si>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</si>
  <si>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</si>
  <si>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</si>
  <si>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</si>
  <si>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</si>
  <si>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</si>
  <si>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</si>
  <si>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</si>
  <si>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</si>
  <si>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</si>
  <si>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</si>
  <si>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</si>
  <si>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</si>
  <si>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</si>
  <si>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</si>
  <si>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</si>
  <si>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</si>
  <si>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</si>
  <si>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</si>
  <si>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</si>
  <si>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</si>
  <si>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</si>
  <si>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</si>
  <si>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</si>
  <si>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</si>
  <si>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</si>
  <si>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</si>
  <si>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</si>
  <si>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</si>
  <si>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</si>
  <si>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</si>
  <si>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</si>
  <si>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</si>
  <si>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</si>
  <si>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</si>
  <si>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</si>
  <si>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</si>
  <si>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</si>
  <si>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</si>
  <si>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</si>
  <si>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</si>
  <si>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</si>
  <si>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</si>
  <si>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</si>
  <si>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</si>
  <si>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</si>
  <si>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</si>
  <si>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</si>
  <si>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</si>
  <si>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</si>
  <si>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</si>
  <si>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</si>
  <si>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</si>
  <si>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</si>
  <si>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</si>
  <si>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</si>
  <si>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</si>
  <si>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</si>
  <si>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</si>
  <si>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</si>
  <si>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</si>
  <si>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</si>
  <si>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</si>
  <si>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</si>
  <si>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</si>
  <si>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</si>
  <si>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</si>
  <si>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</si>
  <si>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</si>
  <si>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</si>
  <si>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</si>
  <si>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</si>
  <si>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</si>
  <si>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</si>
  <si>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</si>
  <si>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</si>
  <si>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</si>
  <si>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</si>
  <si>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</si>
  <si>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</si>
  <si>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</si>
  <si>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</si>
  <si>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</si>
  <si>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</si>
  <si>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</si>
  <si>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</si>
  <si>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</si>
  <si>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</si>
  <si>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</si>
  <si>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</si>
  <si>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</si>
  <si>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</si>
  <si>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</si>
  <si>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</si>
  <si>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</si>
  <si>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</si>
  <si>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</si>
  <si>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</si>
  <si>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</si>
  <si>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</si>
  <si>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</si>
  <si>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</si>
  <si>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</si>
  <si>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</si>
  <si>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</si>
  <si>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</si>
  <si>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</si>
  <si>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</si>
  <si>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</si>
  <si>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</si>
  <si>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</si>
  <si>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</si>
  <si>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</si>
  <si>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</si>
  <si>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</si>
  <si>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</si>
  <si>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</si>
  <si>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</si>
  <si>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</si>
  <si>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</si>
  <si>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</si>
  <si>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</si>
  <si>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</si>
  <si>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</si>
  <si>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</si>
  <si>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</si>
  <si>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</si>
  <si>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</si>
  <si>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</si>
  <si>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</si>
  <si>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</si>
  <si>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</si>
  <si>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</si>
  <si>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</si>
  <si>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</si>
  <si>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</si>
  <si>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</si>
  <si>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</si>
  <si>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</si>
  <si>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</si>
  <si>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</si>
  <si>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</si>
  <si>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</si>
  <si>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</si>
  <si>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</si>
  <si>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</si>
  <si>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</si>
  <si>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</si>
  <si>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</si>
  <si>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</si>
  <si>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</si>
  <si>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</si>
  <si>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</si>
  <si>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</si>
  <si>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</si>
  <si>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</si>
  <si>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</si>
  <si>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</si>
  <si>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</si>
  <si>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</si>
  <si>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</si>
  <si>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</si>
  <si>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</si>
  <si>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</si>
  <si>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</si>
  <si>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</si>
  <si>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</si>
  <si>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</si>
  <si>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</si>
  <si>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</si>
  <si>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</si>
  <si>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</si>
  <si>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</si>
  <si>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</si>
  <si>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</si>
  <si>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</si>
  <si>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</si>
  <si>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</si>
  <si>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</si>
  <si>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</si>
  <si>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</si>
  <si>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</si>
  <si>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</si>
  <si>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</si>
  <si>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</si>
  <si>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</si>
  <si>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</si>
  <si>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</si>
  <si>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</si>
  <si>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</si>
  <si>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</si>
  <si>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</si>
  <si>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</si>
  <si>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</si>
  <si>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</si>
  <si>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</si>
  <si>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</si>
  <si>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</si>
  <si>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</si>
  <si>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</si>
  <si>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</si>
  <si>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</si>
  <si>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</si>
  <si>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</si>
  <si>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</si>
  <si>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</si>
  <si>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</si>
  <si>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</si>
  <si>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</si>
  <si>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</si>
  <si>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</si>
  <si>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</si>
  <si>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</si>
  <si>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</si>
  <si>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</si>
  <si>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</si>
  <si>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</si>
  <si>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</si>
  <si>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</si>
  <si>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</si>
  <si>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</si>
  <si>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</si>
  <si>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</si>
  <si>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</si>
  <si>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</si>
  <si>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</si>
  <si>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</si>
  <si>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</si>
  <si>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</si>
  <si>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</si>
  <si>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</si>
  <si>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</si>
  <si>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</si>
  <si>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</si>
  <si>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</si>
  <si>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</si>
  <si>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</si>
  <si>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</si>
  <si>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</si>
  <si>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</si>
  <si>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</si>
  <si>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</si>
  <si>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</si>
  <si>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</si>
  <si>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</si>
  <si>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</si>
  <si>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</si>
  <si>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</si>
  <si>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</si>
  <si>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</si>
  <si>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</si>
  <si>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</si>
  <si>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</si>
  <si>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</si>
  <si>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</si>
  <si>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</si>
  <si>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</si>
  <si>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</si>
  <si>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</si>
  <si>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</si>
  <si>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</si>
  <si>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</si>
  <si>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ピンク</t>
  </si>
  <si>
    <t>12/08/2020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</si>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</sst>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75.585592129632" createdVersion="3" refreshedVersion="6" minRefreshableVersion="3" recordCount="122" xr:uid="{42448BD8-5058-9642-9969-F71AB891B988}">
  <cacheSource type="worksheet">
    <worksheetSource ref="A5:K127" sheet="Paper"/>
  </cacheSource>
  <cacheFields count="11">
    <cacheField name="Arrival" numFmtId="49">
      <sharedItems count="4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8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  <n v="35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  <n v="2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3"/>
    <x v="2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1"/>
    <x v="1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2"/>
    <x v="8"/>
    <x v="1"/>
    <x v="7"/>
    <x v="0"/>
    <x v="8"/>
    <x v="1"/>
    <x v="16"/>
    <x v="0"/>
    <x v="28"/>
  </r>
  <r>
    <x v="46"/>
    <x v="0"/>
    <x v="4"/>
    <x v="1"/>
    <x v="0"/>
    <x v="0"/>
    <x v="0"/>
    <x v="17"/>
    <x v="19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5D1E5D-E1A4-CE47-B20A-EE0CED57AE48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7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8">
        <item x="13"/>
        <item x="6"/>
        <item x="16"/>
        <item x="5"/>
        <item x="14"/>
        <item x="15"/>
        <item x="7"/>
        <item x="1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0">
        <item x="0"/>
        <item x="12"/>
        <item x="7"/>
        <item x="6"/>
        <item x="14"/>
        <item x="10"/>
        <item x="13"/>
        <item x="2"/>
        <item x="9"/>
        <item x="8"/>
        <item x="5"/>
        <item x="19"/>
        <item x="15"/>
        <item x="4"/>
        <item x="17"/>
        <item x="11"/>
        <item x="16"/>
        <item x="18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8" headerRowDxfId="39" dataDxfId="38" totalsRowDxfId="37">
  <autoFilter ref="A5:K128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CDD1-EAA9-1A45-B2D1-0E92ACA6CBCE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</row>
    <row r="3" spans="2:24">
      <c r="B3" s="56"/>
      <c r="C3" s="55">
        <v>40</v>
      </c>
      <c r="D3" s="55">
        <v>90</v>
      </c>
      <c r="E3" s="55">
        <v>100</v>
      </c>
      <c r="F3" s="55">
        <v>115</v>
      </c>
      <c r="G3" s="55">
        <v>120</v>
      </c>
      <c r="H3" s="57">
        <v>125</v>
      </c>
      <c r="I3" s="58"/>
      <c r="J3" s="55">
        <v>130</v>
      </c>
      <c r="K3" s="55">
        <v>135</v>
      </c>
      <c r="L3" s="55">
        <v>140</v>
      </c>
      <c r="M3" s="55">
        <v>150</v>
      </c>
      <c r="N3" s="57">
        <v>155</v>
      </c>
      <c r="O3" s="58"/>
      <c r="P3" s="55">
        <v>160</v>
      </c>
      <c r="Q3" s="55">
        <v>165</v>
      </c>
      <c r="R3" s="55">
        <v>175</v>
      </c>
      <c r="S3" s="57">
        <v>185</v>
      </c>
      <c r="T3" s="58"/>
      <c r="U3" s="57">
        <v>205</v>
      </c>
      <c r="V3" s="58"/>
      <c r="W3" s="55">
        <v>215</v>
      </c>
      <c r="X3" s="55">
        <v>220</v>
      </c>
    </row>
    <row r="4" spans="2:24">
      <c r="B4" s="7" t="s">
        <v>0</v>
      </c>
      <c r="C4" s="55" t="s">
        <v>257</v>
      </c>
      <c r="D4" s="55" t="s">
        <v>257</v>
      </c>
      <c r="E4" s="55" t="s">
        <v>257</v>
      </c>
      <c r="F4" s="55" t="s">
        <v>257</v>
      </c>
      <c r="G4" s="55" t="s">
        <v>257</v>
      </c>
      <c r="H4" s="55" t="s">
        <v>267</v>
      </c>
      <c r="I4" s="55" t="s">
        <v>257</v>
      </c>
      <c r="J4" s="55" t="s">
        <v>257</v>
      </c>
      <c r="K4" s="55" t="s">
        <v>257</v>
      </c>
      <c r="L4" s="55" t="s">
        <v>257</v>
      </c>
      <c r="M4" s="55" t="s">
        <v>257</v>
      </c>
      <c r="N4" s="55" t="s">
        <v>267</v>
      </c>
      <c r="O4" s="55" t="s">
        <v>257</v>
      </c>
      <c r="P4" s="55" t="s">
        <v>257</v>
      </c>
      <c r="Q4" s="55" t="s">
        <v>257</v>
      </c>
      <c r="R4" s="55" t="s">
        <v>257</v>
      </c>
      <c r="S4" s="55" t="s">
        <v>267</v>
      </c>
      <c r="T4" s="55" t="s">
        <v>257</v>
      </c>
      <c r="U4" s="55" t="s">
        <v>267</v>
      </c>
      <c r="V4" s="55" t="s">
        <v>257</v>
      </c>
      <c r="W4" s="55" t="s">
        <v>257</v>
      </c>
      <c r="X4" s="55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1100</v>
      </c>
      <c r="E12" s="6"/>
      <c r="F12" s="6"/>
      <c r="G12" s="6"/>
      <c r="H12" s="6"/>
      <c r="I12" s="6"/>
      <c r="J12" s="6">
        <v>1230</v>
      </c>
      <c r="K12" s="6"/>
      <c r="L12" s="6">
        <v>790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600</v>
      </c>
      <c r="M15" s="6"/>
      <c r="N15" s="6">
        <v>600</v>
      </c>
      <c r="O15" s="6">
        <v>250</v>
      </c>
      <c r="P15" s="6"/>
      <c r="Q15" s="6">
        <v>1300</v>
      </c>
      <c r="R15" s="6"/>
      <c r="S15" s="6">
        <v>700</v>
      </c>
      <c r="T15" s="6">
        <v>700</v>
      </c>
      <c r="U15" s="6">
        <v>20</v>
      </c>
      <c r="V15" s="6">
        <v>700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8"/>
  <sheetViews>
    <sheetView zoomScale="107" zoomScaleNormal="107" workbookViewId="0">
      <pane ySplit="5" topLeftCell="A118" activePane="bottomLeft" state="frozen"/>
      <selection pane="bottomLeft" activeCell="H120" sqref="H120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309</v>
      </c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 hidden="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 hidden="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 hidden="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 hidden="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 hidden="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 hidden="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 hidden="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 hidden="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 hidden="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 hidden="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 hidden="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 hidden="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 hidden="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 hidden="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 hidden="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 hidden="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6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500</v>
      </c>
      <c r="I119" s="17">
        <f t="shared" si="18"/>
        <v>100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 hidden="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 hidden="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/>
      <c r="I123" s="17">
        <f t="shared" si="20"/>
        <v>600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/>
      <c r="I124" s="17">
        <f t="shared" si="20"/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 hidden="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 hidden="1">
      <c r="A126" s="15" t="s">
        <v>306</v>
      </c>
      <c r="B126" s="18" t="s">
        <v>12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Nキャスト&lt;73&gt;ME80E140</v>
      </c>
    </row>
    <row r="127" spans="1:11" hidden="1">
      <c r="A127" s="15" t="s">
        <v>308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 hidden="1">
      <c r="A128" s="15"/>
      <c r="B128" s="16"/>
      <c r="C128" s="17"/>
      <c r="D128" s="17"/>
      <c r="E128" s="17"/>
      <c r="F128" s="17"/>
      <c r="G128" s="17">
        <f>F128*E128</f>
        <v>0</v>
      </c>
      <c r="H128" s="17"/>
      <c r="I128" s="17">
        <f>G128-H128</f>
        <v>0</v>
      </c>
      <c r="J128" s="18"/>
      <c r="K128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4" activePane="bottomLeft" state="frozen"/>
      <selection pane="bottomLeft" activeCell="D18" sqref="D18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 t="s">
        <v>307</v>
      </c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44173.693726851852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 hidden="1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 hidden="1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 hidden="1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 hidden="1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 hidden="1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 hidden="1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 hidden="1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 hidden="1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 hidden="1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 hidden="1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 hidden="1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 hidden="1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 hidden="1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 hidden="1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 hidden="1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 hidden="1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 hidden="1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 hidden="1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 hidden="1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 hidden="1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 hidden="1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 hidden="1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 hidden="1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 hidden="1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 hidden="1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 hidden="1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 hidden="1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 hidden="1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 hidden="1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 hidden="1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 hidden="1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 hidden="1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 hidden="1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 hidden="1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 hidden="1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 hidden="1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 hidden="1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 hidden="1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 hidden="1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 hidden="1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 hidden="1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 hidden="1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 hidden="1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 hidden="1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 hidden="1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 hidden="1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 hidden="1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 hidden="1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 hidden="1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 hidden="1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 hidden="1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 hidden="1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 hidden="1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 hidden="1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 hidden="1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 hidden="1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 hidden="1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 hidden="1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 hidden="1">
      <c r="A75" s="24">
        <v>73</v>
      </c>
      <c r="B75" s="22" t="s">
        <v>22</v>
      </c>
      <c r="C75" s="22">
        <v>191</v>
      </c>
      <c r="D75" s="53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 hidden="1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 hidden="1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 hidden="1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 hidden="1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 hidden="1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 hidden="1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 hidden="1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 hidden="1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 hidden="1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 hidden="1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 hidden="1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 hidden="1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 hidden="1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 hidden="1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 hidden="1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 hidden="1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 hidden="1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 hidden="1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 hidden="1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 hidden="1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 hidden="1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 hidden="1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 hidden="1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 hidden="1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 hidden="1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 hidden="1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 hidden="1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 hidden="1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 hidden="1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 hidden="1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 hidden="1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 hidden="1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 hidden="1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 hidden="1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 hidden="1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 hidden="1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 hidden="1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 hidden="1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 hidden="1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 hidden="1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 hidden="1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 hidden="1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 hidden="1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 hidden="1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 hidden="1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 hidden="1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 hidden="1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 hidden="1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 hidden="1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 hidden="1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 hidden="1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 hidden="1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 hidden="1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 hidden="1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 hidden="1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 hidden="1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 hidden="1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 hidden="1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 hidden="1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 hidden="1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 hidden="1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 hidden="1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 hidden="1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 hidden="1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 hidden="1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 hidden="1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 hidden="1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 hidden="1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 hidden="1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 hidden="1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 hidden="1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 hidden="1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 hidden="1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 hidden="1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 hidden="1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 hidden="1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 hidden="1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 hidden="1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 hidden="1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 hidden="1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 hidden="1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 hidden="1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 hidden="1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 hidden="1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 hidden="1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 hidden="1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 hidden="1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 hidden="1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 hidden="1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 hidden="1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 hidden="1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 hidden="1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 hidden="1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 hidden="1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 hidden="1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 hidden="1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 hidden="1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 hidden="1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 hidden="1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 hidden="1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 hidden="1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 hidden="1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 hidden="1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 hidden="1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 hidden="1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 hidden="1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 hidden="1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 hidden="1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 hidden="1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 hidden="1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 hidden="1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 hidden="1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 hidden="1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 hidden="1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 hidden="1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 hidden="1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 hidden="1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 hidden="1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 hidden="1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 hidden="1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 hidden="1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 hidden="1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 hidden="1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 hidden="1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 hidden="1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 hidden="1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 hidden="1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 hidden="1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 hidden="1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 hidden="1">
      <c r="A212" s="27"/>
      <c r="B212" s="28" t="s">
        <v>22</v>
      </c>
      <c r="C212" s="28">
        <v>131</v>
      </c>
      <c r="D212" s="54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 hidden="1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 hidden="1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 hidden="1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 hidden="1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 hidden="1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 hidden="1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 hidden="1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 hidden="1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 hidden="1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 hidden="1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 hidden="1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 hidden="1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 hidden="1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 hidden="1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 hidden="1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 hidden="1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 hidden="1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 hidden="1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 hidden="1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 hidden="1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 hidden="1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 hidden="1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 hidden="1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 hidden="1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 hidden="1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 hidden="1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 hidden="1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2020-12-10T05:03:20Z</dcterms:modified>
</cp:coreProperties>
</file>