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BDA4F494-B975-3F44-9849-9B232C4C4A45}" xr6:coauthVersionLast="45" xr6:coauthVersionMax="45" xr10:uidLastSave="{00000000-0000-0000-0000-000000000000}"/>
  <bookViews>
    <workbookView xWindow="0" yWindow="460" windowWidth="25600" windowHeight="12920" xr2:uid="{00000000-000D-0000-FFFF-FFFF00000000}"/>
  </bookViews>
  <sheets>
    <sheet name="PaperSummary" sheetId="20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Paper!$A$5:$J$90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4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90" i="2" l="1"/>
  <c r="I90" i="2" s="1"/>
  <c r="K90" i="2"/>
  <c r="G89" i="2"/>
  <c r="I89" i="2" s="1"/>
  <c r="K89" i="2"/>
  <c r="I3" i="2"/>
  <c r="F3" i="3"/>
  <c r="G88" i="2" l="1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<sst xmlns="http://schemas.openxmlformats.org/spreadsheetml/2006/main" count="803" uniqueCount="288">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</sst>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16.796291550927" createdVersion="3" refreshedVersion="6" minRefreshableVersion="3" recordCount="84" xr:uid="{23C53C1D-D4AC-E849-AF28-3578B961D9AF}">
  <cacheSource type="worksheet">
    <worksheetSource ref="A5:K89" sheet="Paper"/>
  </cacheSource>
  <cacheFields count="11">
    <cacheField name="Arrival" numFmtId="49">
      <sharedItems count="3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600"/>
        <m/>
        <n v="100"/>
        <n v="570"/>
        <n v="400"/>
        <n v="180"/>
        <n v="70"/>
        <n v="580"/>
        <n v="300"/>
        <n v="480"/>
        <n v="50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8">
        <n v="0"/>
        <n v="600"/>
        <n v="1200"/>
        <n v="500"/>
        <n v="30"/>
        <n v="200"/>
        <n v="300"/>
        <n v="20"/>
        <n v="13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2"/>
    <x v="3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9"/>
    <x v="2"/>
    <x v="15"/>
  </r>
  <r>
    <x v="12"/>
    <x v="0"/>
    <x v="3"/>
    <x v="1"/>
    <x v="0"/>
    <x v="0"/>
    <x v="0"/>
    <x v="9"/>
    <x v="10"/>
    <x v="1"/>
    <x v="4"/>
  </r>
  <r>
    <x v="12"/>
    <x v="1"/>
    <x v="3"/>
    <x v="1"/>
    <x v="0"/>
    <x v="0"/>
    <x v="0"/>
    <x v="10"/>
    <x v="9"/>
    <x v="1"/>
    <x v="16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9"/>
    <x v="1"/>
    <x v="22"/>
  </r>
  <r>
    <x v="12"/>
    <x v="7"/>
    <x v="12"/>
    <x v="1"/>
    <x v="0"/>
    <x v="0"/>
    <x v="0"/>
    <x v="11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13"/>
    <x v="15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14"/>
    <x v="16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14"/>
    <x v="16"/>
    <x v="1"/>
    <x v="0"/>
  </r>
  <r>
    <x v="12"/>
    <x v="0"/>
    <x v="4"/>
    <x v="0"/>
    <x v="0"/>
    <x v="0"/>
    <x v="0"/>
    <x v="10"/>
    <x v="9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4"/>
    <x v="5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15"/>
    <x v="17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1"/>
    <x v="1"/>
    <x v="0"/>
    <x v="12"/>
  </r>
  <r>
    <x v="29"/>
    <x v="0"/>
    <x v="7"/>
    <x v="1"/>
    <x v="0"/>
    <x v="0"/>
    <x v="0"/>
    <x v="0"/>
    <x v="0"/>
    <x v="0"/>
    <x v="8"/>
  </r>
  <r>
    <x v="29"/>
    <x v="0"/>
    <x v="7"/>
    <x v="1"/>
    <x v="0"/>
    <x v="0"/>
    <x v="0"/>
    <x v="1"/>
    <x v="1"/>
    <x v="0"/>
    <x v="8"/>
  </r>
  <r>
    <x v="29"/>
    <x v="2"/>
    <x v="3"/>
    <x v="1"/>
    <x v="1"/>
    <x v="0"/>
    <x v="2"/>
    <x v="1"/>
    <x v="6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D22AC6-53C5-E043-88DB-B2159BA4A07F}" name="PaperPivotTable" cacheId="4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30">
        <item x="29"/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2"/>
        <item x="5"/>
        <item x="8"/>
        <item x="12"/>
        <item x="4"/>
        <item x="9"/>
        <item x="10"/>
        <item x="14"/>
        <item x="15"/>
        <item x="3"/>
        <item x="7"/>
        <item x="11"/>
        <item x="13"/>
        <item x="0"/>
        <item x="1"/>
      </items>
    </pivotField>
    <pivotField dataField="1" showAll="0" defaultSubtotal="0">
      <items count="18">
        <item x="0"/>
        <item x="15"/>
        <item x="13"/>
        <item x="7"/>
        <item x="4"/>
        <item x="17"/>
        <item x="16"/>
        <item x="11"/>
        <item x="14"/>
        <item x="9"/>
        <item x="10"/>
        <item x="8"/>
        <item x="5"/>
        <item x="6"/>
        <item x="12"/>
        <item x="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90" headerRowDxfId="39" dataDxfId="38" totalsRowDxfId="37">
  <autoFilter ref="A5:K90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F7A47-C470-C941-B13E-A98CF41A2F89}">
  <dimension ref="B1:W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1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500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640</v>
      </c>
      <c r="M14" s="6"/>
      <c r="N14" s="6">
        <v>700</v>
      </c>
      <c r="O14" s="6">
        <v>0</v>
      </c>
      <c r="P14" s="6"/>
      <c r="Q14" s="6">
        <v>600</v>
      </c>
      <c r="R14" s="6"/>
      <c r="S14" s="6">
        <v>650</v>
      </c>
      <c r="T14" s="6">
        <v>1200</v>
      </c>
      <c r="U14" s="6">
        <v>20</v>
      </c>
      <c r="V14" s="6">
        <v>1100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90"/>
  <sheetViews>
    <sheetView zoomScale="107" zoomScaleNormal="107" workbookViewId="0">
      <pane ySplit="5" topLeftCell="A77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44116.796099537038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9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6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100</v>
      </c>
      <c r="I23" s="17">
        <f t="shared" si="1"/>
        <v>500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9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6" t="s">
        <v>254</v>
      </c>
      <c r="C67" s="17">
        <v>185</v>
      </c>
      <c r="D67" s="17" t="s">
        <v>268</v>
      </c>
      <c r="E67" s="17">
        <v>600</v>
      </c>
      <c r="F67" s="17">
        <v>1</v>
      </c>
      <c r="G67" s="17">
        <f t="shared" si="8"/>
        <v>600</v>
      </c>
      <c r="H67" s="17">
        <v>550</v>
      </c>
      <c r="I67" s="17">
        <f t="shared" si="9"/>
        <v>50</v>
      </c>
      <c r="J67" s="18" t="s">
        <v>215</v>
      </c>
      <c r="K67" s="20" t="str">
        <f>CONCATENATE(Table2[[#This Row],[Specs]],Table2[[#This Row],[Width]],Table2[[#This Row],[Slitting]])</f>
        <v>y ユポ80 MDN 8GB185i 一本刃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600</v>
      </c>
      <c r="I71" s="17">
        <f t="shared" si="9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286</v>
      </c>
      <c r="B87" s="16" t="s">
        <v>287</v>
      </c>
      <c r="C87" s="17">
        <v>165</v>
      </c>
      <c r="D87" s="17"/>
      <c r="E87" s="17">
        <v>600</v>
      </c>
      <c r="F87" s="17">
        <v>1</v>
      </c>
      <c r="G87" s="17">
        <f>F87*E87</f>
        <v>600</v>
      </c>
      <c r="H87" s="17">
        <v>600</v>
      </c>
      <c r="I87" s="17">
        <f>G87-H87</f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>
      <c r="A88" s="15" t="s">
        <v>286</v>
      </c>
      <c r="B88" s="18" t="s">
        <v>254</v>
      </c>
      <c r="C88" s="17">
        <v>165</v>
      </c>
      <c r="D88" s="17"/>
      <c r="E88" s="17">
        <v>600</v>
      </c>
      <c r="F88" s="17">
        <v>1</v>
      </c>
      <c r="G88" s="17">
        <f>F88*E88</f>
        <v>600</v>
      </c>
      <c r="H88" s="17"/>
      <c r="I88" s="17">
        <f>G88-H88</f>
        <v>600</v>
      </c>
      <c r="J88" s="18"/>
      <c r="K88" s="20" t="str">
        <f>CONCATENATE(Table2[[#This Row],[Specs]],Table2[[#This Row],[Width]],Table2[[#This Row],[Slitting]])</f>
        <v>y ユポ80 MDN 8GB165</v>
      </c>
    </row>
    <row r="89" spans="1:11">
      <c r="A89" s="15" t="s">
        <v>286</v>
      </c>
      <c r="B89" s="18" t="s">
        <v>12</v>
      </c>
      <c r="C89" s="17">
        <v>90</v>
      </c>
      <c r="D89" s="17"/>
      <c r="E89" s="17">
        <v>300</v>
      </c>
      <c r="F89" s="17">
        <v>1</v>
      </c>
      <c r="G89" s="17">
        <f>F89*E89</f>
        <v>300</v>
      </c>
      <c r="H89" s="17"/>
      <c r="I89" s="17">
        <f>G89-H89</f>
        <v>300</v>
      </c>
      <c r="J89" s="18"/>
      <c r="K89" s="20" t="str">
        <f>CONCATENATE(Table2[[#This Row],[Specs]],Table2[[#This Row],[Width]],Table2[[#This Row],[Slitting]])</f>
        <v>Nキャスト&lt;73&gt;ME80E90</v>
      </c>
    </row>
    <row r="90" spans="1:11">
      <c r="A90" s="15"/>
      <c r="B90" s="16"/>
      <c r="C90" s="17"/>
      <c r="D90" s="17"/>
      <c r="E90" s="17"/>
      <c r="F90" s="17"/>
      <c r="G90" s="17">
        <f>F90*E90</f>
        <v>0</v>
      </c>
      <c r="H90" s="17"/>
      <c r="I90" s="17">
        <f>G90-H90</f>
        <v>0</v>
      </c>
      <c r="J90" s="18"/>
      <c r="K9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44116.796099537038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2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>
        <v>131</v>
      </c>
      <c r="D212" s="28" t="s">
        <v>285</v>
      </c>
      <c r="E212" s="28">
        <v>10</v>
      </c>
      <c r="F212" s="23">
        <v>44103</v>
      </c>
      <c r="G212" s="28"/>
      <c r="H212" s="29" t="str">
        <f>CONCATENATE(Table1[[#This Row],[Order Code]],Table1[[#This Row],[NAME]])</f>
        <v>131J 墨　S</v>
      </c>
    </row>
    <row r="213" spans="1:8" ht="20">
      <c r="A213" s="27"/>
      <c r="B213" s="28" t="s">
        <v>22</v>
      </c>
      <c r="C213" s="28">
        <v>131</v>
      </c>
      <c r="D213" s="28" t="s">
        <v>285</v>
      </c>
      <c r="E213" s="28">
        <v>10</v>
      </c>
      <c r="F213" s="23">
        <v>44103</v>
      </c>
      <c r="G213" s="28"/>
      <c r="H213" s="29" t="str">
        <f>CONCATENATE(Table1[[#This Row],[Order Code]],Table1[[#This Row],[NAME]])</f>
        <v>131J 墨　S</v>
      </c>
    </row>
    <row r="214" spans="1:8" ht="20">
      <c r="A214" s="27"/>
      <c r="B214" s="28" t="s">
        <v>22</v>
      </c>
      <c r="C214" s="28">
        <v>131</v>
      </c>
      <c r="D214" s="28" t="s">
        <v>285</v>
      </c>
      <c r="E214" s="28">
        <v>10</v>
      </c>
      <c r="F214" s="23">
        <v>44103</v>
      </c>
      <c r="G214" s="28"/>
      <c r="H214" s="29" t="str">
        <f>CONCATENATE(Table1[[#This Row],[Order Code]],Table1[[#This Row],[NAME]])</f>
        <v>131J 墨　S</v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2020-10-12T10:06:59Z</dcterms:modified>
</cp:coreProperties>
</file>